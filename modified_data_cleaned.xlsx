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yis\Downloads\TUS\Data Visualisation\"/>
    </mc:Choice>
  </mc:AlternateContent>
  <xr:revisionPtr revIDLastSave="0" documentId="13_ncr:1_{838555AA-7088-4E67-94B9-FE4B247EC227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1" r:id="rId1"/>
    <sheet name="Sheet5" sheetId="5" r:id="rId2"/>
    <sheet name="Sheet2" sheetId="2" r:id="rId3"/>
    <sheet name="Sheet4" sheetId="4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 a="1"/>
  <c r="A1" i="5" s="1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10" i="2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" i="4"/>
  <c r="A201" i="2"/>
  <c r="A202" i="2"/>
  <c r="A203" i="2"/>
  <c r="A204" i="2"/>
  <c r="A205" i="2"/>
  <c r="A206" i="2"/>
  <c r="A207" i="2"/>
  <c r="A208" i="2"/>
  <c r="A209" i="2"/>
  <c r="A210" i="2"/>
  <c r="A199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20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<sst xmlns="http://schemas.openxmlformats.org/spreadsheetml/2006/main" count="1832" uniqueCount="120">
  <si>
    <t>Month</t>
  </si>
  <si>
    <t>ID_Number</t>
  </si>
  <si>
    <t>Position</t>
  </si>
  <si>
    <t>PS group</t>
  </si>
  <si>
    <t>Lv</t>
  </si>
  <si>
    <t>Personnel Subarea</t>
  </si>
  <si>
    <t>Employee Group</t>
  </si>
  <si>
    <t>Employee Subgroup</t>
  </si>
  <si>
    <t>Annual salary</t>
  </si>
  <si>
    <t>Personnel Area</t>
  </si>
  <si>
    <t>Gender Key</t>
  </si>
  <si>
    <t>Birth date</t>
  </si>
  <si>
    <t>County</t>
  </si>
  <si>
    <t>01-2019</t>
  </si>
  <si>
    <t>01-2018</t>
  </si>
  <si>
    <t>01-2015</t>
  </si>
  <si>
    <t>01-2016</t>
  </si>
  <si>
    <t>01-2017</t>
  </si>
  <si>
    <t>Integration: default position</t>
  </si>
  <si>
    <t>Guard</t>
  </si>
  <si>
    <t>Shift Supervisor – Metall</t>
  </si>
  <si>
    <t>Artisan I - Bit Grinders</t>
  </si>
  <si>
    <t>Drill &amp; Blast Engineer</t>
  </si>
  <si>
    <t>Supervisor - Mechanical</t>
  </si>
  <si>
    <t>Metallurgist</t>
  </si>
  <si>
    <t>Artisan III - HME Mechanic</t>
  </si>
  <si>
    <t>Metallurgist - Plant</t>
  </si>
  <si>
    <t>Senior Metallurgist</t>
  </si>
  <si>
    <t>Senior Safety Officer</t>
  </si>
  <si>
    <t>Labourer</t>
  </si>
  <si>
    <t>Engineering Technician - Auto Electrical</t>
  </si>
  <si>
    <t>Senior Geologist</t>
  </si>
  <si>
    <t>Artisan III - Welder</t>
  </si>
  <si>
    <t>Artisan III - Drill Rig Mechanic</t>
  </si>
  <si>
    <t>Safety Administrator</t>
  </si>
  <si>
    <t>Engineering Technician -</t>
  </si>
  <si>
    <t>Heavy Equipment Operator</t>
  </si>
  <si>
    <t>Section Geologist</t>
  </si>
  <si>
    <t>Planned Maintenance Offic</t>
  </si>
  <si>
    <t>Plant Operator III</t>
  </si>
  <si>
    <t>Supervisor - Mechanical - Fuel Farm</t>
  </si>
  <si>
    <t>Superintendent - Shift Supervision</t>
  </si>
  <si>
    <t>Section Operator I</t>
  </si>
  <si>
    <t>Engineering Technician</t>
  </si>
  <si>
    <t>Senior Surveyor</t>
  </si>
  <si>
    <t>Mark Up Crew</t>
  </si>
  <si>
    <t>Sampler</t>
  </si>
  <si>
    <t>Charge Hand - HME Mechanic - Drill Rigs</t>
  </si>
  <si>
    <t>Artisan III - Fitter</t>
  </si>
  <si>
    <t>Supervisor Mechanical - Drill Rigs</t>
  </si>
  <si>
    <t>C2</t>
  </si>
  <si>
    <t>B2</t>
  </si>
  <si>
    <t>C3</t>
  </si>
  <si>
    <t>B3</t>
  </si>
  <si>
    <t>D1</t>
  </si>
  <si>
    <t>C4</t>
  </si>
  <si>
    <t>C1</t>
  </si>
  <si>
    <t>B1</t>
  </si>
  <si>
    <t>B6</t>
  </si>
  <si>
    <t>B5</t>
  </si>
  <si>
    <t>B4</t>
  </si>
  <si>
    <t>DL</t>
  </si>
  <si>
    <t>Finance</t>
  </si>
  <si>
    <t>Security</t>
  </si>
  <si>
    <t>Processing</t>
  </si>
  <si>
    <t>Extraction Maintena</t>
  </si>
  <si>
    <t>Extraction</t>
  </si>
  <si>
    <t>Health &amp; Safety</t>
  </si>
  <si>
    <t>Geology</t>
  </si>
  <si>
    <t>Environment</t>
  </si>
  <si>
    <t>Engineering</t>
  </si>
  <si>
    <t>Corporate Office</t>
  </si>
  <si>
    <t>Learning &amp; Dev</t>
  </si>
  <si>
    <t>Regional</t>
  </si>
  <si>
    <t>Procurement</t>
  </si>
  <si>
    <t>Fixed Term Employee</t>
  </si>
  <si>
    <t>Permanent Employee</t>
  </si>
  <si>
    <t>Long term &gt; 6 months</t>
  </si>
  <si>
    <t>Staff</t>
  </si>
  <si>
    <t>Officials</t>
  </si>
  <si>
    <t>Senior Officials</t>
  </si>
  <si>
    <t>Region B</t>
  </si>
  <si>
    <t>Region A</t>
  </si>
  <si>
    <t>Male</t>
  </si>
  <si>
    <t>Female</t>
  </si>
  <si>
    <t>Cork</t>
  </si>
  <si>
    <t>Dublin</t>
  </si>
  <si>
    <t>Wexford</t>
  </si>
  <si>
    <t>Kilkenny</t>
  </si>
  <si>
    <t>Cavan</t>
  </si>
  <si>
    <t>Waterford</t>
  </si>
  <si>
    <t>Longford</t>
  </si>
  <si>
    <t>Galway</t>
  </si>
  <si>
    <t>Kildare</t>
  </si>
  <si>
    <t>Dundalk</t>
  </si>
  <si>
    <t>Donegal</t>
  </si>
  <si>
    <t>Antrim</t>
  </si>
  <si>
    <t>Carrick</t>
  </si>
  <si>
    <t>Westmeath</t>
  </si>
  <si>
    <t>Limerick</t>
  </si>
  <si>
    <t>Roscommon</t>
  </si>
  <si>
    <t>satisfaction_level</t>
  </si>
  <si>
    <t>number_project</t>
  </si>
  <si>
    <t>average_montly_hours</t>
  </si>
  <si>
    <t>time_spend_company</t>
  </si>
  <si>
    <t>left</t>
  </si>
  <si>
    <t>promotion_last_5years</t>
  </si>
  <si>
    <t>Target Sales</t>
  </si>
  <si>
    <t>Actual Sales</t>
  </si>
  <si>
    <t>| Employee ID | Performance Rating | Sales Revenue | Customer Satisfaction Score | Department | Manager ID | Hire Date  | Termination Date | Training Completion | Attendance Rate | Work Accidents | Disciplinary Actions |</t>
  </si>
  <si>
    <t>|-------------|--------------------|---------------|-----------------------------|------------|------------|------------|------------------|---------------------|-----------------|-----------------|----------------------|</t>
  </si>
  <si>
    <t>| =RANDBETWEEN(1000, 9999) | =RAND() * (5 - 1) + 1 | =RANDBETWEEN(50000, 150000) | =RAND() * (10 - 5) + 5 | DepartmentX | =RANDBETWEEN(5000, 5999) | 2022-01-01 |                  | Yes | =RAND() * (100 - 80) + 80 | No |                      |</t>
  </si>
  <si>
    <t>| =RANDBETWEEN(1000, 9999) | =RAND() * (5 - 1) + 1 | =RANDBETWEEN(50000, 150000) | =RAND() * (10 - 5) + 5 | DepartmentY | =RANDBETWEEN(5000, 5999) | 2022-01-01 |                  | Yes | =RAND() * (100 - 80) + 80 | No | Written warning      |</t>
  </si>
  <si>
    <t>| ...         | ...                | ...           | ...                         | ...        | ...        | ...        | ...              | ...                 | ...             | ...             | ...                  |</t>
  </si>
  <si>
    <t>Performance Rating</t>
  </si>
  <si>
    <t xml:space="preserve"> =rand() * (10 - 5) + 5</t>
  </si>
  <si>
    <t>Customer Rating</t>
  </si>
  <si>
    <t xml:space="preserve">Attendance Rate </t>
  </si>
  <si>
    <t>Manager_Id</t>
  </si>
  <si>
    <t>Hire_Date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</si>
</sst>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1"/>
  <sheetViews>
    <sheetView tabSelected="1" topLeftCell="M1" zoomScale="87" workbookViewId="0">
      <selection activeCell="N2" sqref="N2"/>
    </sheetView>
  </sheetViews>
  <sheetFormatPr defaultRowHeight="15" x14ac:dyDescent="0.25"/>
  <cols>
    <col min="3" max="3" width="36.42578125" customWidth="1"/>
    <col min="10" max="10" width="18.28515625" bestFit="1" customWidth="1"/>
    <col min="11" max="11" width="15.85546875" bestFit="1" customWidth="1"/>
    <col min="13" max="13" width="18.28515625" bestFit="1" customWidth="1"/>
    <col min="15" max="15" width="14.140625" customWidth="1"/>
    <col min="16" max="16" width="13.140625" customWidth="1"/>
    <col min="17" max="17" width="11.42578125" customWidth="1"/>
    <col min="18" max="18" width="18" customWidth="1"/>
    <col min="19" max="19" width="18.85546875" customWidth="1"/>
    <col min="20" max="20" width="18.7109375" customWidth="1"/>
    <col min="21" max="21" width="17.28515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119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107</v>
      </c>
      <c r="P1" s="3" t="s">
        <v>108</v>
      </c>
      <c r="Q1" s="3" t="s">
        <v>118</v>
      </c>
      <c r="R1" t="s">
        <v>101</v>
      </c>
      <c r="S1" s="3" t="s">
        <v>114</v>
      </c>
      <c r="T1" s="3" t="s">
        <v>116</v>
      </c>
      <c r="U1" s="3" t="s">
        <v>117</v>
      </c>
      <c r="V1" t="s">
        <v>102</v>
      </c>
      <c r="W1" t="s">
        <v>103</v>
      </c>
      <c r="X1" t="s">
        <v>104</v>
      </c>
      <c r="Y1" t="s">
        <v>105</v>
      </c>
      <c r="Z1" t="s">
        <v>106</v>
      </c>
    </row>
    <row r="2" spans="1:26" x14ac:dyDescent="0.25">
      <c r="A2" t="s">
        <v>13</v>
      </c>
      <c r="B2">
        <v>2274</v>
      </c>
      <c r="C2" t="s">
        <v>18</v>
      </c>
      <c r="D2" t="s">
        <v>50</v>
      </c>
      <c r="E2">
        <v>6</v>
      </c>
      <c r="F2" t="s">
        <v>62</v>
      </c>
      <c r="G2" t="s">
        <v>75</v>
      </c>
      <c r="H2" t="s">
        <v>77</v>
      </c>
      <c r="I2">
        <v>15074</v>
      </c>
      <c r="J2" s="2">
        <v>43175</v>
      </c>
      <c r="K2" t="s">
        <v>81</v>
      </c>
      <c r="L2" t="s">
        <v>83</v>
      </c>
      <c r="M2" s="2">
        <v>32235</v>
      </c>
      <c r="N2" t="s">
        <v>86</v>
      </c>
      <c r="O2">
        <v>16496</v>
      </c>
      <c r="P2">
        <v>9350</v>
      </c>
      <c r="Q2">
        <v>5466</v>
      </c>
      <c r="R2">
        <v>0.38</v>
      </c>
      <c r="S2" s="4">
        <v>4.7584099569269602</v>
      </c>
      <c r="T2" s="4">
        <v>9.3399954197058808</v>
      </c>
      <c r="U2">
        <v>85.834687687271213</v>
      </c>
      <c r="V2">
        <v>2</v>
      </c>
      <c r="W2">
        <v>157</v>
      </c>
      <c r="X2">
        <v>3</v>
      </c>
      <c r="Y2">
        <v>1</v>
      </c>
      <c r="Z2">
        <v>0</v>
      </c>
    </row>
    <row r="3" spans="1:26" x14ac:dyDescent="0.25">
      <c r="A3" t="s">
        <v>13</v>
      </c>
      <c r="B3">
        <v>6456</v>
      </c>
      <c r="C3" t="s">
        <v>19</v>
      </c>
      <c r="D3" t="s">
        <v>51</v>
      </c>
      <c r="E3">
        <v>6</v>
      </c>
      <c r="F3" t="s">
        <v>63</v>
      </c>
      <c r="G3" t="s">
        <v>75</v>
      </c>
      <c r="H3" t="s">
        <v>77</v>
      </c>
      <c r="I3">
        <v>9891</v>
      </c>
      <c r="J3" s="2">
        <v>43175</v>
      </c>
      <c r="K3" t="s">
        <v>81</v>
      </c>
      <c r="L3" t="s">
        <v>83</v>
      </c>
      <c r="M3" s="2">
        <v>27844</v>
      </c>
      <c r="N3" t="s">
        <v>86</v>
      </c>
      <c r="O3">
        <v>19180</v>
      </c>
      <c r="P3">
        <v>16412</v>
      </c>
      <c r="Q3">
        <v>5711</v>
      </c>
      <c r="R3">
        <v>0.8</v>
      </c>
      <c r="S3" s="4">
        <v>3.47272571429178</v>
      </c>
      <c r="T3" s="4">
        <v>6.8324628221848762</v>
      </c>
      <c r="U3">
        <v>92.81730824549733</v>
      </c>
      <c r="V3">
        <v>5</v>
      </c>
      <c r="W3">
        <v>262</v>
      </c>
      <c r="X3">
        <v>6</v>
      </c>
      <c r="Y3">
        <v>1</v>
      </c>
      <c r="Z3">
        <v>0</v>
      </c>
    </row>
    <row r="4" spans="1:26" x14ac:dyDescent="0.25">
      <c r="A4" t="s">
        <v>13</v>
      </c>
      <c r="B4">
        <v>4677</v>
      </c>
      <c r="C4" t="s">
        <v>20</v>
      </c>
      <c r="D4" t="s">
        <v>52</v>
      </c>
      <c r="E4">
        <v>3</v>
      </c>
      <c r="F4" t="s">
        <v>64</v>
      </c>
      <c r="G4" t="s">
        <v>75</v>
      </c>
      <c r="H4" t="s">
        <v>77</v>
      </c>
      <c r="I4">
        <v>24718</v>
      </c>
      <c r="J4" s="2">
        <v>43175</v>
      </c>
      <c r="K4" t="s">
        <v>81</v>
      </c>
      <c r="L4" t="s">
        <v>83</v>
      </c>
      <c r="M4" s="2">
        <v>29434</v>
      </c>
      <c r="N4" t="s">
        <v>87</v>
      </c>
      <c r="O4">
        <v>8037</v>
      </c>
      <c r="P4">
        <v>15070</v>
      </c>
      <c r="Q4">
        <v>5323</v>
      </c>
      <c r="R4">
        <v>0.11</v>
      </c>
      <c r="S4" s="4">
        <v>2.5093281134896586</v>
      </c>
      <c r="T4" s="4">
        <v>9.6252107992675597</v>
      </c>
      <c r="U4">
        <v>98.684700998837116</v>
      </c>
      <c r="V4">
        <v>7</v>
      </c>
      <c r="W4">
        <v>272</v>
      </c>
      <c r="X4">
        <v>4</v>
      </c>
      <c r="Y4">
        <v>1</v>
      </c>
      <c r="Z4">
        <v>0</v>
      </c>
    </row>
    <row r="5" spans="1:26" x14ac:dyDescent="0.25">
      <c r="A5" t="s">
        <v>14</v>
      </c>
      <c r="B5">
        <v>1911</v>
      </c>
      <c r="C5" t="s">
        <v>21</v>
      </c>
      <c r="D5" t="s">
        <v>53</v>
      </c>
      <c r="E5">
        <v>3</v>
      </c>
      <c r="F5" t="s">
        <v>65</v>
      </c>
      <c r="G5" t="s">
        <v>76</v>
      </c>
      <c r="H5" t="s">
        <v>78</v>
      </c>
      <c r="I5">
        <v>9846</v>
      </c>
      <c r="J5" s="2">
        <v>41814</v>
      </c>
      <c r="K5" t="s">
        <v>81</v>
      </c>
      <c r="L5" t="s">
        <v>83</v>
      </c>
      <c r="M5" s="2">
        <v>25203</v>
      </c>
      <c r="N5" t="s">
        <v>88</v>
      </c>
      <c r="O5">
        <v>17312</v>
      </c>
      <c r="P5">
        <v>11398</v>
      </c>
      <c r="Q5">
        <v>5038</v>
      </c>
      <c r="R5">
        <v>0.72</v>
      </c>
      <c r="S5" s="4">
        <v>4.7853137285313876</v>
      </c>
      <c r="T5" s="4">
        <v>9.3228320243490668</v>
      </c>
      <c r="U5">
        <v>95.783922595706898</v>
      </c>
      <c r="V5">
        <v>5</v>
      </c>
      <c r="W5">
        <v>223</v>
      </c>
      <c r="X5">
        <v>5</v>
      </c>
      <c r="Y5">
        <v>1</v>
      </c>
      <c r="Z5">
        <v>0</v>
      </c>
    </row>
    <row r="6" spans="1:26" x14ac:dyDescent="0.25">
      <c r="A6" t="s">
        <v>13</v>
      </c>
      <c r="B6">
        <v>2221</v>
      </c>
      <c r="C6" t="s">
        <v>22</v>
      </c>
      <c r="D6" t="s">
        <v>54</v>
      </c>
      <c r="E6">
        <v>4</v>
      </c>
      <c r="F6" t="s">
        <v>66</v>
      </c>
      <c r="G6" t="s">
        <v>75</v>
      </c>
      <c r="H6" t="s">
        <v>77</v>
      </c>
      <c r="I6">
        <v>38085</v>
      </c>
      <c r="J6" s="2">
        <v>43175</v>
      </c>
      <c r="K6" t="s">
        <v>81</v>
      </c>
      <c r="L6" t="s">
        <v>83</v>
      </c>
      <c r="M6" s="2">
        <v>31955</v>
      </c>
      <c r="N6" t="s">
        <v>89</v>
      </c>
      <c r="O6">
        <v>14722</v>
      </c>
      <c r="P6">
        <v>15692</v>
      </c>
      <c r="Q6">
        <v>5965</v>
      </c>
      <c r="R6">
        <v>0.37</v>
      </c>
      <c r="S6" s="4">
        <v>1.8483567883094159</v>
      </c>
      <c r="T6" s="4">
        <v>8.355736065528216</v>
      </c>
      <c r="U6">
        <v>94.636426011693203</v>
      </c>
      <c r="V6">
        <v>2</v>
      </c>
      <c r="W6">
        <v>159</v>
      </c>
      <c r="X6">
        <v>3</v>
      </c>
      <c r="Y6">
        <v>1</v>
      </c>
      <c r="Z6">
        <v>0</v>
      </c>
    </row>
    <row r="7" spans="1:26" x14ac:dyDescent="0.25">
      <c r="A7" t="s">
        <v>15</v>
      </c>
      <c r="B7">
        <v>5412</v>
      </c>
      <c r="C7" t="s">
        <v>23</v>
      </c>
      <c r="D7" t="s">
        <v>55</v>
      </c>
      <c r="E7">
        <v>2</v>
      </c>
      <c r="F7" t="s">
        <v>65</v>
      </c>
      <c r="G7" t="s">
        <v>76</v>
      </c>
      <c r="H7" t="s">
        <v>79</v>
      </c>
      <c r="I7">
        <v>14907</v>
      </c>
      <c r="J7" s="2">
        <v>40483</v>
      </c>
      <c r="K7" t="s">
        <v>81</v>
      </c>
      <c r="L7" t="s">
        <v>83</v>
      </c>
      <c r="M7" s="2">
        <v>26536</v>
      </c>
      <c r="N7" t="s">
        <v>88</v>
      </c>
      <c r="O7">
        <v>9537</v>
      </c>
      <c r="P7">
        <v>6109</v>
      </c>
      <c r="Q7">
        <v>5870</v>
      </c>
      <c r="R7">
        <v>0.41</v>
      </c>
      <c r="S7" s="4">
        <v>2.8301553840439864</v>
      </c>
      <c r="T7" s="4">
        <v>6.7838886830704492</v>
      </c>
      <c r="U7">
        <v>90.250711779128693</v>
      </c>
      <c r="V7">
        <v>2</v>
      </c>
      <c r="W7">
        <v>153</v>
      </c>
      <c r="X7">
        <v>3</v>
      </c>
      <c r="Y7">
        <v>1</v>
      </c>
      <c r="Z7">
        <v>0</v>
      </c>
    </row>
    <row r="8" spans="1:26" x14ac:dyDescent="0.25">
      <c r="A8" t="s">
        <v>16</v>
      </c>
      <c r="B8">
        <v>5195</v>
      </c>
      <c r="C8" t="s">
        <v>24</v>
      </c>
      <c r="D8" t="s">
        <v>52</v>
      </c>
      <c r="E8">
        <v>7</v>
      </c>
      <c r="F8" t="s">
        <v>64</v>
      </c>
      <c r="G8" t="s">
        <v>76</v>
      </c>
      <c r="H8" t="s">
        <v>79</v>
      </c>
      <c r="I8">
        <v>24165</v>
      </c>
      <c r="J8" s="2">
        <v>40681</v>
      </c>
      <c r="K8" t="s">
        <v>82</v>
      </c>
      <c r="L8" t="s">
        <v>83</v>
      </c>
      <c r="M8" s="2">
        <v>28776</v>
      </c>
      <c r="N8" t="s">
        <v>90</v>
      </c>
      <c r="O8">
        <v>16695</v>
      </c>
      <c r="P8">
        <v>14577</v>
      </c>
      <c r="Q8">
        <v>5084</v>
      </c>
      <c r="R8">
        <v>0.1</v>
      </c>
      <c r="S8" s="4">
        <v>3.1143294449646195</v>
      </c>
      <c r="T8" s="4">
        <v>9.458542746560747</v>
      </c>
      <c r="U8">
        <v>87.490909672885664</v>
      </c>
      <c r="V8">
        <v>6</v>
      </c>
      <c r="W8">
        <v>247</v>
      </c>
      <c r="X8">
        <v>4</v>
      </c>
      <c r="Y8">
        <v>1</v>
      </c>
      <c r="Z8">
        <v>0</v>
      </c>
    </row>
    <row r="9" spans="1:26" x14ac:dyDescent="0.25">
      <c r="A9" t="s">
        <v>15</v>
      </c>
      <c r="B9">
        <v>7995</v>
      </c>
      <c r="C9" t="s">
        <v>25</v>
      </c>
      <c r="D9" t="s">
        <v>56</v>
      </c>
      <c r="E9">
        <v>2</v>
      </c>
      <c r="F9" t="s">
        <v>65</v>
      </c>
      <c r="G9" t="s">
        <v>76</v>
      </c>
      <c r="H9" t="s">
        <v>78</v>
      </c>
      <c r="I9">
        <v>7634</v>
      </c>
      <c r="J9" s="2">
        <v>40483</v>
      </c>
      <c r="K9" t="s">
        <v>81</v>
      </c>
      <c r="L9" t="s">
        <v>83</v>
      </c>
      <c r="M9" s="2">
        <v>25174</v>
      </c>
      <c r="N9" t="s">
        <v>91</v>
      </c>
      <c r="O9">
        <v>18069</v>
      </c>
      <c r="P9">
        <v>13703</v>
      </c>
      <c r="Q9">
        <v>5365</v>
      </c>
      <c r="R9">
        <v>0.92</v>
      </c>
      <c r="S9" s="4">
        <v>3.126282498243607</v>
      </c>
      <c r="T9" s="4">
        <v>8.5996484252973389</v>
      </c>
      <c r="U9">
        <v>87.303780919540287</v>
      </c>
      <c r="V9">
        <v>5</v>
      </c>
      <c r="W9">
        <v>259</v>
      </c>
      <c r="X9">
        <v>5</v>
      </c>
      <c r="Y9">
        <v>1</v>
      </c>
      <c r="Z9">
        <v>0</v>
      </c>
    </row>
    <row r="10" spans="1:26" x14ac:dyDescent="0.25">
      <c r="A10" t="s">
        <v>16</v>
      </c>
      <c r="B10">
        <v>5407</v>
      </c>
      <c r="C10" t="s">
        <v>26</v>
      </c>
      <c r="D10" t="s">
        <v>55</v>
      </c>
      <c r="E10">
        <v>4</v>
      </c>
      <c r="F10" t="s">
        <v>64</v>
      </c>
      <c r="G10" t="s">
        <v>76</v>
      </c>
      <c r="H10" t="s">
        <v>79</v>
      </c>
      <c r="I10">
        <v>29493</v>
      </c>
      <c r="J10" s="2">
        <v>40681</v>
      </c>
      <c r="K10" t="s">
        <v>82</v>
      </c>
      <c r="L10" t="s">
        <v>84</v>
      </c>
      <c r="M10" s="2">
        <v>31504</v>
      </c>
      <c r="N10" t="s">
        <v>92</v>
      </c>
      <c r="O10">
        <v>6711</v>
      </c>
      <c r="P10">
        <v>10101</v>
      </c>
      <c r="Q10">
        <v>5057</v>
      </c>
      <c r="R10">
        <v>0.89</v>
      </c>
      <c r="S10" s="4">
        <v>1.9169640937302153</v>
      </c>
      <c r="T10" s="4">
        <v>7.6709969433745915</v>
      </c>
      <c r="U10">
        <v>90.589090417999245</v>
      </c>
      <c r="V10">
        <v>5</v>
      </c>
      <c r="W10">
        <v>224</v>
      </c>
      <c r="X10">
        <v>5</v>
      </c>
      <c r="Y10">
        <v>1</v>
      </c>
      <c r="Z10">
        <v>0</v>
      </c>
    </row>
    <row r="11" spans="1:26" x14ac:dyDescent="0.25">
      <c r="A11" t="s">
        <v>15</v>
      </c>
      <c r="B11">
        <v>3892</v>
      </c>
      <c r="C11" t="s">
        <v>25</v>
      </c>
      <c r="D11" t="s">
        <v>56</v>
      </c>
      <c r="E11">
        <v>2</v>
      </c>
      <c r="F11" t="s">
        <v>65</v>
      </c>
      <c r="G11" t="s">
        <v>76</v>
      </c>
      <c r="H11" t="s">
        <v>78</v>
      </c>
      <c r="I11">
        <v>7634</v>
      </c>
      <c r="J11" s="2">
        <v>40483</v>
      </c>
      <c r="K11" t="s">
        <v>81</v>
      </c>
      <c r="L11" t="s">
        <v>83</v>
      </c>
      <c r="M11" s="2">
        <v>27634</v>
      </c>
      <c r="N11" t="s">
        <v>93</v>
      </c>
      <c r="O11">
        <v>14207</v>
      </c>
      <c r="P11">
        <v>10550</v>
      </c>
      <c r="Q11">
        <v>5818</v>
      </c>
      <c r="R11">
        <v>0.42</v>
      </c>
      <c r="S11" s="4">
        <v>1.192320525112998</v>
      </c>
      <c r="T11" s="4">
        <v>7.9383886500798919</v>
      </c>
      <c r="U11">
        <v>92.007353103376047</v>
      </c>
      <c r="V11">
        <v>2</v>
      </c>
      <c r="W11">
        <v>142</v>
      </c>
      <c r="X11">
        <v>3</v>
      </c>
      <c r="Y11">
        <v>1</v>
      </c>
      <c r="Z11">
        <v>0</v>
      </c>
    </row>
    <row r="12" spans="1:26" x14ac:dyDescent="0.25">
      <c r="A12" t="s">
        <v>16</v>
      </c>
      <c r="B12">
        <v>1743</v>
      </c>
      <c r="C12" t="s">
        <v>27</v>
      </c>
      <c r="D12" t="s">
        <v>54</v>
      </c>
      <c r="E12">
        <v>4</v>
      </c>
      <c r="F12" t="s">
        <v>64</v>
      </c>
      <c r="G12" t="s">
        <v>76</v>
      </c>
      <c r="H12" t="s">
        <v>79</v>
      </c>
      <c r="I12">
        <v>35936</v>
      </c>
      <c r="J12" s="2">
        <v>40681</v>
      </c>
      <c r="K12" t="s">
        <v>82</v>
      </c>
      <c r="L12" t="s">
        <v>83</v>
      </c>
      <c r="M12" s="2">
        <v>28288</v>
      </c>
      <c r="N12" t="s">
        <v>88</v>
      </c>
      <c r="O12">
        <v>7371</v>
      </c>
      <c r="P12">
        <v>15295</v>
      </c>
      <c r="Q12">
        <v>5690</v>
      </c>
      <c r="R12">
        <v>0.45</v>
      </c>
      <c r="S12" s="4">
        <v>2.9298644483997736</v>
      </c>
      <c r="T12" s="4">
        <v>8.2036013828285341</v>
      </c>
      <c r="U12">
        <v>91.912077268510657</v>
      </c>
      <c r="V12">
        <v>2</v>
      </c>
      <c r="W12">
        <v>135</v>
      </c>
      <c r="X12">
        <v>3</v>
      </c>
      <c r="Y12">
        <v>1</v>
      </c>
      <c r="Z12">
        <v>0</v>
      </c>
    </row>
    <row r="13" spans="1:26" x14ac:dyDescent="0.25">
      <c r="A13" t="s">
        <v>17</v>
      </c>
      <c r="B13">
        <v>5550</v>
      </c>
      <c r="C13" t="s">
        <v>28</v>
      </c>
      <c r="D13" t="s">
        <v>55</v>
      </c>
      <c r="E13">
        <v>2</v>
      </c>
      <c r="F13" t="s">
        <v>67</v>
      </c>
      <c r="G13" t="s">
        <v>76</v>
      </c>
      <c r="H13" t="s">
        <v>79</v>
      </c>
      <c r="I13">
        <v>17197</v>
      </c>
      <c r="J13" s="2">
        <v>41003</v>
      </c>
      <c r="K13" t="s">
        <v>82</v>
      </c>
      <c r="L13" t="s">
        <v>83</v>
      </c>
      <c r="M13" s="2">
        <v>27422</v>
      </c>
      <c r="N13" t="s">
        <v>90</v>
      </c>
      <c r="O13">
        <v>9556</v>
      </c>
      <c r="P13">
        <v>8177</v>
      </c>
      <c r="Q13">
        <v>5509</v>
      </c>
      <c r="R13">
        <v>0.11</v>
      </c>
      <c r="S13" s="4">
        <v>2.9309085210051813</v>
      </c>
      <c r="T13" s="4">
        <v>6.8865263364487319</v>
      </c>
      <c r="U13">
        <v>95.959576388384889</v>
      </c>
      <c r="V13">
        <v>6</v>
      </c>
      <c r="W13">
        <v>305</v>
      </c>
      <c r="X13">
        <v>4</v>
      </c>
      <c r="Y13">
        <v>1</v>
      </c>
      <c r="Z13">
        <v>0</v>
      </c>
    </row>
    <row r="14" spans="1:26" x14ac:dyDescent="0.25">
      <c r="A14" t="s">
        <v>14</v>
      </c>
      <c r="B14">
        <v>8261</v>
      </c>
      <c r="C14" t="s">
        <v>21</v>
      </c>
      <c r="D14" t="s">
        <v>53</v>
      </c>
      <c r="E14">
        <v>3</v>
      </c>
      <c r="F14" t="s">
        <v>65</v>
      </c>
      <c r="G14" t="s">
        <v>76</v>
      </c>
      <c r="H14" t="s">
        <v>78</v>
      </c>
      <c r="I14">
        <v>9846</v>
      </c>
      <c r="J14" s="2">
        <v>41814</v>
      </c>
      <c r="K14" t="s">
        <v>81</v>
      </c>
      <c r="L14" t="s">
        <v>83</v>
      </c>
      <c r="M14" s="2">
        <v>23805</v>
      </c>
      <c r="N14" t="s">
        <v>94</v>
      </c>
      <c r="O14">
        <v>15733</v>
      </c>
      <c r="P14">
        <v>10897</v>
      </c>
      <c r="Q14">
        <v>5691</v>
      </c>
      <c r="R14">
        <v>0.84</v>
      </c>
      <c r="S14" s="4">
        <v>2.3659601272466415</v>
      </c>
      <c r="T14" s="4">
        <v>6.0499296057105765</v>
      </c>
      <c r="U14">
        <v>98.822030529018733</v>
      </c>
      <c r="V14">
        <v>4</v>
      </c>
      <c r="W14">
        <v>234</v>
      </c>
      <c r="X14">
        <v>5</v>
      </c>
      <c r="Y14">
        <v>1</v>
      </c>
      <c r="Z14">
        <v>0</v>
      </c>
    </row>
    <row r="15" spans="1:26" x14ac:dyDescent="0.25">
      <c r="A15" t="s">
        <v>14</v>
      </c>
      <c r="B15">
        <v>8175</v>
      </c>
      <c r="C15" t="s">
        <v>29</v>
      </c>
      <c r="D15" t="s">
        <v>57</v>
      </c>
      <c r="E15">
        <v>3</v>
      </c>
      <c r="F15" t="s">
        <v>65</v>
      </c>
      <c r="G15" t="s">
        <v>76</v>
      </c>
      <c r="H15" t="s">
        <v>78</v>
      </c>
      <c r="I15">
        <v>8751</v>
      </c>
      <c r="J15" s="2">
        <v>41814</v>
      </c>
      <c r="K15" t="s">
        <v>81</v>
      </c>
      <c r="L15" t="s">
        <v>83</v>
      </c>
      <c r="M15" s="2">
        <v>27973</v>
      </c>
      <c r="N15" t="s">
        <v>95</v>
      </c>
      <c r="O15">
        <v>17370</v>
      </c>
      <c r="P15">
        <v>7717</v>
      </c>
      <c r="Q15">
        <v>5836</v>
      </c>
      <c r="R15">
        <v>0.41</v>
      </c>
      <c r="S15" s="4">
        <v>4.0825509267474871</v>
      </c>
      <c r="T15" s="4">
        <v>8.5932712740662023</v>
      </c>
      <c r="U15">
        <v>86.02901559956382</v>
      </c>
      <c r="V15">
        <v>2</v>
      </c>
      <c r="W15">
        <v>148</v>
      </c>
      <c r="X15">
        <v>3</v>
      </c>
      <c r="Y15">
        <v>1</v>
      </c>
      <c r="Z15">
        <v>0</v>
      </c>
    </row>
    <row r="16" spans="1:26" x14ac:dyDescent="0.25">
      <c r="A16" t="s">
        <v>13</v>
      </c>
      <c r="B16">
        <v>7400</v>
      </c>
      <c r="C16" t="s">
        <v>20</v>
      </c>
      <c r="D16" t="s">
        <v>52</v>
      </c>
      <c r="E16">
        <v>5</v>
      </c>
      <c r="F16" t="s">
        <v>64</v>
      </c>
      <c r="G16" t="s">
        <v>75</v>
      </c>
      <c r="H16" t="s">
        <v>77</v>
      </c>
      <c r="I16">
        <v>25477</v>
      </c>
      <c r="J16" s="2">
        <v>43175</v>
      </c>
      <c r="K16" t="s">
        <v>81</v>
      </c>
      <c r="L16" t="s">
        <v>83</v>
      </c>
      <c r="M16" s="2">
        <v>32158</v>
      </c>
      <c r="N16" t="s">
        <v>94</v>
      </c>
      <c r="O16">
        <v>8687</v>
      </c>
      <c r="P16">
        <v>8436</v>
      </c>
      <c r="Q16">
        <v>5310</v>
      </c>
      <c r="R16">
        <v>0.36</v>
      </c>
      <c r="S16" s="4">
        <v>4.2259650204591201</v>
      </c>
      <c r="T16" s="4">
        <v>9.3025335360348134</v>
      </c>
      <c r="U16">
        <v>97.671173562060503</v>
      </c>
      <c r="V16">
        <v>2</v>
      </c>
      <c r="W16">
        <v>137</v>
      </c>
      <c r="X16">
        <v>3</v>
      </c>
      <c r="Y16">
        <v>1</v>
      </c>
      <c r="Z16">
        <v>0</v>
      </c>
    </row>
    <row r="17" spans="1:26" x14ac:dyDescent="0.25">
      <c r="A17" t="s">
        <v>15</v>
      </c>
      <c r="B17">
        <v>7256</v>
      </c>
      <c r="C17" t="s">
        <v>25</v>
      </c>
      <c r="D17" t="s">
        <v>56</v>
      </c>
      <c r="E17">
        <v>2</v>
      </c>
      <c r="F17" t="s">
        <v>65</v>
      </c>
      <c r="G17" t="s">
        <v>76</v>
      </c>
      <c r="H17" t="s">
        <v>78</v>
      </c>
      <c r="I17">
        <v>7634</v>
      </c>
      <c r="J17" s="2">
        <v>40483</v>
      </c>
      <c r="K17" t="s">
        <v>81</v>
      </c>
      <c r="L17" t="s">
        <v>83</v>
      </c>
      <c r="M17" s="2">
        <v>29931</v>
      </c>
      <c r="N17" t="s">
        <v>85</v>
      </c>
      <c r="O17">
        <v>17748</v>
      </c>
      <c r="P17">
        <v>16474</v>
      </c>
      <c r="Q17">
        <v>5103</v>
      </c>
      <c r="R17">
        <v>0.38</v>
      </c>
      <c r="S17" s="4">
        <v>1.2326957622111738</v>
      </c>
      <c r="T17" s="4">
        <v>8.7814334204654845</v>
      </c>
      <c r="U17">
        <v>88.892195273319871</v>
      </c>
      <c r="V17">
        <v>2</v>
      </c>
      <c r="W17">
        <v>143</v>
      </c>
      <c r="X17">
        <v>3</v>
      </c>
      <c r="Y17">
        <v>1</v>
      </c>
      <c r="Z17">
        <v>0</v>
      </c>
    </row>
    <row r="18" spans="1:26" x14ac:dyDescent="0.25">
      <c r="A18" t="s">
        <v>16</v>
      </c>
      <c r="B18">
        <v>5394</v>
      </c>
      <c r="C18" t="s">
        <v>24</v>
      </c>
      <c r="D18" t="s">
        <v>52</v>
      </c>
      <c r="E18">
        <v>7</v>
      </c>
      <c r="F18" t="s">
        <v>64</v>
      </c>
      <c r="G18" t="s">
        <v>76</v>
      </c>
      <c r="H18" t="s">
        <v>79</v>
      </c>
      <c r="I18">
        <v>24165</v>
      </c>
      <c r="J18" s="2">
        <v>40681</v>
      </c>
      <c r="K18" t="s">
        <v>82</v>
      </c>
      <c r="L18" t="s">
        <v>83</v>
      </c>
      <c r="M18" s="2">
        <v>28776</v>
      </c>
      <c r="N18" t="s">
        <v>94</v>
      </c>
      <c r="O18">
        <v>7077</v>
      </c>
      <c r="P18">
        <v>17868</v>
      </c>
      <c r="Q18">
        <v>5899</v>
      </c>
      <c r="R18">
        <v>0.45</v>
      </c>
      <c r="S18" s="4">
        <v>3.3088640033109753</v>
      </c>
      <c r="T18" s="4">
        <v>7.3989572971574606</v>
      </c>
      <c r="U18">
        <v>82.015166855032817</v>
      </c>
      <c r="V18">
        <v>2</v>
      </c>
      <c r="W18">
        <v>160</v>
      </c>
      <c r="X18">
        <v>3</v>
      </c>
      <c r="Y18">
        <v>1</v>
      </c>
      <c r="Z18">
        <v>0</v>
      </c>
    </row>
    <row r="19" spans="1:26" x14ac:dyDescent="0.25">
      <c r="A19" t="s">
        <v>14</v>
      </c>
      <c r="B19">
        <v>1573</v>
      </c>
      <c r="C19" t="s">
        <v>30</v>
      </c>
      <c r="D19" t="s">
        <v>56</v>
      </c>
      <c r="E19">
        <v>3</v>
      </c>
      <c r="F19" t="s">
        <v>65</v>
      </c>
      <c r="G19" t="s">
        <v>76</v>
      </c>
      <c r="H19" t="s">
        <v>78</v>
      </c>
      <c r="I19">
        <v>13019</v>
      </c>
      <c r="J19" s="2">
        <v>41814</v>
      </c>
      <c r="K19" t="s">
        <v>81</v>
      </c>
      <c r="L19" t="s">
        <v>83</v>
      </c>
      <c r="M19" s="2">
        <v>31098</v>
      </c>
      <c r="N19" t="s">
        <v>89</v>
      </c>
      <c r="O19">
        <v>8522</v>
      </c>
      <c r="P19">
        <v>11964</v>
      </c>
      <c r="Q19">
        <v>5850</v>
      </c>
      <c r="R19">
        <v>0.78</v>
      </c>
      <c r="S19" s="4">
        <v>3.1938372833837505</v>
      </c>
      <c r="T19" s="4">
        <v>7.033037512239364</v>
      </c>
      <c r="U19">
        <v>81.205028012734616</v>
      </c>
      <c r="V19">
        <v>4</v>
      </c>
      <c r="W19">
        <v>255</v>
      </c>
      <c r="X19">
        <v>6</v>
      </c>
      <c r="Y19">
        <v>1</v>
      </c>
      <c r="Z19">
        <v>0</v>
      </c>
    </row>
    <row r="20" spans="1:26" x14ac:dyDescent="0.25">
      <c r="A20" t="s">
        <v>13</v>
      </c>
      <c r="B20">
        <v>4374</v>
      </c>
      <c r="C20" t="s">
        <v>31</v>
      </c>
      <c r="D20" t="s">
        <v>55</v>
      </c>
      <c r="E20">
        <v>2</v>
      </c>
      <c r="F20" t="s">
        <v>68</v>
      </c>
      <c r="G20" t="s">
        <v>75</v>
      </c>
      <c r="H20" t="s">
        <v>77</v>
      </c>
      <c r="I20">
        <v>29860</v>
      </c>
      <c r="J20" s="2">
        <v>43175</v>
      </c>
      <c r="K20" t="s">
        <v>81</v>
      </c>
      <c r="L20" t="s">
        <v>83</v>
      </c>
      <c r="M20" s="2">
        <v>31152</v>
      </c>
      <c r="N20" t="s">
        <v>86</v>
      </c>
      <c r="O20">
        <v>5081</v>
      </c>
      <c r="P20">
        <v>5259</v>
      </c>
      <c r="Q20">
        <v>5675</v>
      </c>
      <c r="R20">
        <v>0.45</v>
      </c>
      <c r="S20" s="4">
        <v>3.6780526982032198</v>
      </c>
      <c r="T20" s="4">
        <v>9.8170390173647455</v>
      </c>
      <c r="U20">
        <v>97.406646375888272</v>
      </c>
      <c r="V20">
        <v>2</v>
      </c>
      <c r="W20">
        <v>160</v>
      </c>
      <c r="X20">
        <v>3</v>
      </c>
      <c r="Y20">
        <v>1</v>
      </c>
      <c r="Z20">
        <v>1</v>
      </c>
    </row>
    <row r="21" spans="1:26" x14ac:dyDescent="0.25">
      <c r="A21" t="s">
        <v>15</v>
      </c>
      <c r="B21">
        <v>1639</v>
      </c>
      <c r="C21" t="s">
        <v>25</v>
      </c>
      <c r="D21" t="s">
        <v>56</v>
      </c>
      <c r="E21">
        <v>2</v>
      </c>
      <c r="F21" t="s">
        <v>65</v>
      </c>
      <c r="G21" t="s">
        <v>76</v>
      </c>
      <c r="H21" t="s">
        <v>78</v>
      </c>
      <c r="I21">
        <v>7634</v>
      </c>
      <c r="J21" s="2">
        <v>40483</v>
      </c>
      <c r="K21" t="s">
        <v>81</v>
      </c>
      <c r="L21" t="s">
        <v>83</v>
      </c>
      <c r="M21" s="2">
        <v>28090</v>
      </c>
      <c r="N21" t="s">
        <v>96</v>
      </c>
      <c r="O21">
        <v>15289</v>
      </c>
      <c r="P21">
        <v>15696</v>
      </c>
      <c r="Q21">
        <v>5840</v>
      </c>
      <c r="R21">
        <v>0.76</v>
      </c>
      <c r="S21" s="4">
        <v>4.6358092636179702</v>
      </c>
      <c r="T21" s="4">
        <v>7.6499696012193681</v>
      </c>
      <c r="U21">
        <v>81.159516638527535</v>
      </c>
      <c r="V21">
        <v>5</v>
      </c>
      <c r="W21">
        <v>262</v>
      </c>
      <c r="X21">
        <v>5</v>
      </c>
      <c r="Y21">
        <v>1</v>
      </c>
      <c r="Z21">
        <v>0</v>
      </c>
    </row>
    <row r="22" spans="1:26" x14ac:dyDescent="0.25">
      <c r="A22" t="s">
        <v>16</v>
      </c>
      <c r="B22">
        <v>9637</v>
      </c>
      <c r="C22" t="s">
        <v>26</v>
      </c>
      <c r="D22" t="s">
        <v>55</v>
      </c>
      <c r="E22">
        <v>4</v>
      </c>
      <c r="F22" t="s">
        <v>64</v>
      </c>
      <c r="G22" t="s">
        <v>76</v>
      </c>
      <c r="H22" t="s">
        <v>79</v>
      </c>
      <c r="I22">
        <v>29493</v>
      </c>
      <c r="J22" s="2">
        <v>40681</v>
      </c>
      <c r="K22" t="s">
        <v>82</v>
      </c>
      <c r="L22" t="s">
        <v>84</v>
      </c>
      <c r="M22" s="2">
        <v>31504</v>
      </c>
      <c r="N22" t="s">
        <v>86</v>
      </c>
      <c r="O22">
        <v>16098</v>
      </c>
      <c r="P22">
        <v>5464</v>
      </c>
      <c r="Q22">
        <v>5014</v>
      </c>
      <c r="R22">
        <v>0.11</v>
      </c>
      <c r="S22" s="4">
        <v>1.3707266810773806</v>
      </c>
      <c r="T22" s="4">
        <v>7.5154100777391921</v>
      </c>
      <c r="U22">
        <v>82.446699724645512</v>
      </c>
      <c r="V22">
        <v>6</v>
      </c>
      <c r="W22">
        <v>282</v>
      </c>
      <c r="X22">
        <v>4</v>
      </c>
      <c r="Y22">
        <v>1</v>
      </c>
      <c r="Z22">
        <v>0</v>
      </c>
    </row>
    <row r="23" spans="1:26" x14ac:dyDescent="0.25">
      <c r="A23" t="s">
        <v>17</v>
      </c>
      <c r="B23">
        <v>5440</v>
      </c>
      <c r="C23" t="s">
        <v>31</v>
      </c>
      <c r="D23" t="s">
        <v>55</v>
      </c>
      <c r="E23">
        <v>2</v>
      </c>
      <c r="F23" t="s">
        <v>68</v>
      </c>
      <c r="G23" t="s">
        <v>76</v>
      </c>
      <c r="H23" t="s">
        <v>79</v>
      </c>
      <c r="I23">
        <v>17197</v>
      </c>
      <c r="J23" s="2">
        <v>41003</v>
      </c>
      <c r="K23" t="s">
        <v>82</v>
      </c>
      <c r="L23" t="s">
        <v>83</v>
      </c>
      <c r="M23" s="2">
        <v>29298</v>
      </c>
      <c r="N23" t="s">
        <v>97</v>
      </c>
      <c r="O23">
        <v>16811</v>
      </c>
      <c r="P23">
        <v>5122</v>
      </c>
      <c r="Q23">
        <v>5906</v>
      </c>
      <c r="R23">
        <v>0.38</v>
      </c>
      <c r="S23" s="4">
        <v>2.0965803633632012</v>
      </c>
      <c r="T23" s="4">
        <v>6.6048794433961033</v>
      </c>
      <c r="U23">
        <v>98.333246132280209</v>
      </c>
      <c r="V23">
        <v>2</v>
      </c>
      <c r="W23">
        <v>147</v>
      </c>
      <c r="X23">
        <v>3</v>
      </c>
      <c r="Y23">
        <v>1</v>
      </c>
      <c r="Z23">
        <v>0</v>
      </c>
    </row>
    <row r="24" spans="1:26" x14ac:dyDescent="0.25">
      <c r="A24" t="s">
        <v>14</v>
      </c>
      <c r="B24">
        <v>1632</v>
      </c>
      <c r="C24" t="s">
        <v>32</v>
      </c>
      <c r="D24" t="s">
        <v>56</v>
      </c>
      <c r="E24">
        <v>3</v>
      </c>
      <c r="F24" t="s">
        <v>65</v>
      </c>
      <c r="G24" t="s">
        <v>76</v>
      </c>
      <c r="H24" t="s">
        <v>78</v>
      </c>
      <c r="I24">
        <v>13019</v>
      </c>
      <c r="J24" s="2">
        <v>41814</v>
      </c>
      <c r="K24" t="s">
        <v>81</v>
      </c>
      <c r="L24" t="s">
        <v>83</v>
      </c>
      <c r="M24" s="2">
        <v>30879</v>
      </c>
      <c r="N24" t="s">
        <v>97</v>
      </c>
      <c r="O24">
        <v>6325</v>
      </c>
      <c r="P24">
        <v>10647</v>
      </c>
      <c r="Q24">
        <v>5288</v>
      </c>
      <c r="R24">
        <v>0.09</v>
      </c>
      <c r="S24" s="4">
        <v>1.1364970522162174</v>
      </c>
      <c r="T24" s="4">
        <v>8.031336359359198</v>
      </c>
      <c r="U24">
        <v>91.810125308649376</v>
      </c>
      <c r="V24">
        <v>6</v>
      </c>
      <c r="W24">
        <v>304</v>
      </c>
      <c r="X24">
        <v>4</v>
      </c>
      <c r="Y24">
        <v>1</v>
      </c>
      <c r="Z24">
        <v>0</v>
      </c>
    </row>
    <row r="25" spans="1:26" x14ac:dyDescent="0.25">
      <c r="A25" t="s">
        <v>13</v>
      </c>
      <c r="B25">
        <v>3697</v>
      </c>
      <c r="C25" t="s">
        <v>18</v>
      </c>
      <c r="D25" t="s">
        <v>56</v>
      </c>
      <c r="E25">
        <v>6</v>
      </c>
      <c r="F25" t="s">
        <v>62</v>
      </c>
      <c r="G25" t="s">
        <v>75</v>
      </c>
      <c r="H25" t="s">
        <v>77</v>
      </c>
      <c r="I25">
        <v>13994</v>
      </c>
      <c r="J25" s="2">
        <v>43175</v>
      </c>
      <c r="K25" t="s">
        <v>81</v>
      </c>
      <c r="L25" t="s">
        <v>83</v>
      </c>
      <c r="M25" s="2">
        <v>31925</v>
      </c>
      <c r="N25" t="s">
        <v>92</v>
      </c>
      <c r="O25">
        <v>7907</v>
      </c>
      <c r="P25">
        <v>11082</v>
      </c>
      <c r="Q25">
        <v>5405</v>
      </c>
      <c r="R25">
        <v>0.46</v>
      </c>
      <c r="S25" s="4">
        <v>1.9522121345880925</v>
      </c>
      <c r="T25" s="4">
        <v>9.8881397703228444</v>
      </c>
      <c r="U25">
        <v>89.851123435101329</v>
      </c>
      <c r="V25">
        <v>2</v>
      </c>
      <c r="W25">
        <v>139</v>
      </c>
      <c r="X25">
        <v>3</v>
      </c>
      <c r="Y25">
        <v>1</v>
      </c>
      <c r="Z25">
        <v>0</v>
      </c>
    </row>
    <row r="26" spans="1:26" x14ac:dyDescent="0.25">
      <c r="A26" t="s">
        <v>14</v>
      </c>
      <c r="B26">
        <v>6829</v>
      </c>
      <c r="C26" t="s">
        <v>33</v>
      </c>
      <c r="D26" t="s">
        <v>56</v>
      </c>
      <c r="E26">
        <v>3</v>
      </c>
      <c r="F26" t="s">
        <v>65</v>
      </c>
      <c r="G26" t="s">
        <v>76</v>
      </c>
      <c r="H26" t="s">
        <v>78</v>
      </c>
      <c r="I26">
        <v>13019</v>
      </c>
      <c r="J26" s="2">
        <v>41814</v>
      </c>
      <c r="K26" t="s">
        <v>81</v>
      </c>
      <c r="L26" t="s">
        <v>83</v>
      </c>
      <c r="M26" s="2">
        <v>30734</v>
      </c>
      <c r="N26" t="s">
        <v>92</v>
      </c>
      <c r="O26">
        <v>9674</v>
      </c>
      <c r="P26">
        <v>8725</v>
      </c>
      <c r="Q26">
        <v>5662</v>
      </c>
      <c r="R26">
        <v>0.4</v>
      </c>
      <c r="S26" s="4">
        <v>4.4809688544878856</v>
      </c>
      <c r="T26" s="4">
        <v>6.2083754165381713</v>
      </c>
      <c r="U26">
        <v>80.16642767766082</v>
      </c>
      <c r="V26">
        <v>2</v>
      </c>
      <c r="W26">
        <v>158</v>
      </c>
      <c r="X26">
        <v>3</v>
      </c>
      <c r="Y26">
        <v>1</v>
      </c>
      <c r="Z26">
        <v>0</v>
      </c>
    </row>
    <row r="27" spans="1:26" x14ac:dyDescent="0.25">
      <c r="A27" t="s">
        <v>13</v>
      </c>
      <c r="B27">
        <v>1697</v>
      </c>
      <c r="C27" t="s">
        <v>18</v>
      </c>
      <c r="D27" t="s">
        <v>52</v>
      </c>
      <c r="E27">
        <v>5</v>
      </c>
      <c r="F27" t="s">
        <v>69</v>
      </c>
      <c r="G27" t="s">
        <v>75</v>
      </c>
      <c r="H27" t="s">
        <v>77</v>
      </c>
      <c r="I27">
        <v>20777</v>
      </c>
      <c r="J27" s="2">
        <v>43175</v>
      </c>
      <c r="K27" t="s">
        <v>81</v>
      </c>
      <c r="L27" t="s">
        <v>83</v>
      </c>
      <c r="M27" s="2">
        <v>32536</v>
      </c>
      <c r="N27" t="s">
        <v>98</v>
      </c>
      <c r="O27">
        <v>18986</v>
      </c>
      <c r="P27">
        <v>13532</v>
      </c>
      <c r="Q27">
        <v>5421</v>
      </c>
      <c r="R27">
        <v>0.89</v>
      </c>
      <c r="S27" s="4">
        <v>1.2803884588675922</v>
      </c>
      <c r="T27" s="4">
        <v>9.7532323905360983</v>
      </c>
      <c r="U27">
        <v>84.048875497923348</v>
      </c>
      <c r="V27">
        <v>5</v>
      </c>
      <c r="W27">
        <v>242</v>
      </c>
      <c r="X27">
        <v>5</v>
      </c>
      <c r="Y27">
        <v>1</v>
      </c>
      <c r="Z27">
        <v>0</v>
      </c>
    </row>
    <row r="28" spans="1:26" x14ac:dyDescent="0.25">
      <c r="A28" t="s">
        <v>13</v>
      </c>
      <c r="B28">
        <v>9981</v>
      </c>
      <c r="C28" t="s">
        <v>34</v>
      </c>
      <c r="D28" t="s">
        <v>58</v>
      </c>
      <c r="E28">
        <v>2</v>
      </c>
      <c r="F28" t="s">
        <v>70</v>
      </c>
      <c r="G28" t="s">
        <v>75</v>
      </c>
      <c r="H28" t="s">
        <v>77</v>
      </c>
      <c r="I28">
        <v>12606</v>
      </c>
      <c r="J28" s="2">
        <v>43175</v>
      </c>
      <c r="K28" t="s">
        <v>81</v>
      </c>
      <c r="L28" t="s">
        <v>83</v>
      </c>
      <c r="M28" s="2">
        <v>32247</v>
      </c>
      <c r="N28" t="s">
        <v>97</v>
      </c>
      <c r="O28">
        <v>15872</v>
      </c>
      <c r="P28">
        <v>4189</v>
      </c>
      <c r="Q28">
        <v>5864</v>
      </c>
      <c r="R28">
        <v>0.82</v>
      </c>
      <c r="S28" s="4">
        <v>2.9243532378963764</v>
      </c>
      <c r="T28" s="4">
        <v>8.2407915049457898</v>
      </c>
      <c r="U28">
        <v>92.056341644089329</v>
      </c>
      <c r="V28">
        <v>4</v>
      </c>
      <c r="W28">
        <v>239</v>
      </c>
      <c r="X28">
        <v>5</v>
      </c>
      <c r="Y28">
        <v>1</v>
      </c>
      <c r="Z28">
        <v>0</v>
      </c>
    </row>
    <row r="29" spans="1:26" x14ac:dyDescent="0.25">
      <c r="A29" t="s">
        <v>15</v>
      </c>
      <c r="B29">
        <v>8196</v>
      </c>
      <c r="C29" t="s">
        <v>25</v>
      </c>
      <c r="D29" t="s">
        <v>56</v>
      </c>
      <c r="E29">
        <v>2</v>
      </c>
      <c r="F29" t="s">
        <v>65</v>
      </c>
      <c r="G29" t="s">
        <v>76</v>
      </c>
      <c r="H29" t="s">
        <v>78</v>
      </c>
      <c r="I29">
        <v>7634</v>
      </c>
      <c r="J29" s="2">
        <v>40483</v>
      </c>
      <c r="K29" t="s">
        <v>81</v>
      </c>
      <c r="L29" t="s">
        <v>83</v>
      </c>
      <c r="M29" s="2">
        <v>29347</v>
      </c>
      <c r="N29" t="s">
        <v>99</v>
      </c>
      <c r="O29">
        <v>6675</v>
      </c>
      <c r="P29">
        <v>6724</v>
      </c>
      <c r="Q29">
        <v>5364</v>
      </c>
      <c r="R29">
        <v>0.4</v>
      </c>
      <c r="S29" s="4">
        <v>2.4505369724703048</v>
      </c>
      <c r="T29" s="4">
        <v>8.366363358730883</v>
      </c>
      <c r="U29">
        <v>80.712086285675753</v>
      </c>
      <c r="V29">
        <v>2</v>
      </c>
      <c r="W29">
        <v>135</v>
      </c>
      <c r="X29">
        <v>3</v>
      </c>
      <c r="Y29">
        <v>1</v>
      </c>
      <c r="Z29">
        <v>0</v>
      </c>
    </row>
    <row r="30" spans="1:26" x14ac:dyDescent="0.25">
      <c r="A30" t="s">
        <v>16</v>
      </c>
      <c r="B30">
        <v>4029</v>
      </c>
      <c r="C30" t="s">
        <v>27</v>
      </c>
      <c r="D30" t="s">
        <v>54</v>
      </c>
      <c r="E30">
        <v>4</v>
      </c>
      <c r="F30" t="s">
        <v>64</v>
      </c>
      <c r="G30" t="s">
        <v>76</v>
      </c>
      <c r="H30" t="s">
        <v>79</v>
      </c>
      <c r="I30">
        <v>35936</v>
      </c>
      <c r="J30" s="2">
        <v>40681</v>
      </c>
      <c r="K30" t="s">
        <v>82</v>
      </c>
      <c r="L30" t="s">
        <v>83</v>
      </c>
      <c r="M30" s="2">
        <v>28288</v>
      </c>
      <c r="N30" t="s">
        <v>86</v>
      </c>
      <c r="O30">
        <v>17041</v>
      </c>
      <c r="P30">
        <v>15389</v>
      </c>
      <c r="Q30">
        <v>5247</v>
      </c>
      <c r="R30">
        <v>0.41</v>
      </c>
      <c r="S30" s="4">
        <v>3.449121247915512</v>
      </c>
      <c r="T30" s="4">
        <v>8.0547850907085863</v>
      </c>
      <c r="U30">
        <v>84.937639461984659</v>
      </c>
      <c r="V30">
        <v>2</v>
      </c>
      <c r="W30">
        <v>128</v>
      </c>
      <c r="X30">
        <v>3</v>
      </c>
      <c r="Y30">
        <v>1</v>
      </c>
      <c r="Z30">
        <v>0</v>
      </c>
    </row>
    <row r="31" spans="1:26" x14ac:dyDescent="0.25">
      <c r="A31" t="s">
        <v>17</v>
      </c>
      <c r="B31">
        <v>9011</v>
      </c>
      <c r="C31" t="s">
        <v>28</v>
      </c>
      <c r="D31" t="s">
        <v>55</v>
      </c>
      <c r="E31">
        <v>2</v>
      </c>
      <c r="F31" t="s">
        <v>67</v>
      </c>
      <c r="G31" t="s">
        <v>76</v>
      </c>
      <c r="H31" t="s">
        <v>79</v>
      </c>
      <c r="I31">
        <v>17197</v>
      </c>
      <c r="J31" s="2">
        <v>41003</v>
      </c>
      <c r="K31" t="s">
        <v>82</v>
      </c>
      <c r="L31" t="s">
        <v>83</v>
      </c>
      <c r="M31" s="2">
        <v>27422</v>
      </c>
      <c r="N31" t="s">
        <v>97</v>
      </c>
      <c r="O31">
        <v>14329</v>
      </c>
      <c r="P31">
        <v>7069</v>
      </c>
      <c r="Q31">
        <v>5738</v>
      </c>
      <c r="R31">
        <v>0.38</v>
      </c>
      <c r="S31" s="4">
        <v>1.2650716457267768</v>
      </c>
      <c r="T31" s="4">
        <v>9.0325415194783432</v>
      </c>
      <c r="U31">
        <v>81.819543329486223</v>
      </c>
      <c r="V31">
        <v>2</v>
      </c>
      <c r="W31">
        <v>132</v>
      </c>
      <c r="X31">
        <v>3</v>
      </c>
      <c r="Y31">
        <v>1</v>
      </c>
      <c r="Z31">
        <v>0</v>
      </c>
    </row>
    <row r="32" spans="1:26" x14ac:dyDescent="0.25">
      <c r="A32" t="s">
        <v>14</v>
      </c>
      <c r="B32">
        <v>2042</v>
      </c>
      <c r="C32" t="s">
        <v>33</v>
      </c>
      <c r="D32" t="s">
        <v>56</v>
      </c>
      <c r="E32">
        <v>3</v>
      </c>
      <c r="F32" t="s">
        <v>65</v>
      </c>
      <c r="G32" t="s">
        <v>76</v>
      </c>
      <c r="H32" t="s">
        <v>78</v>
      </c>
      <c r="I32">
        <v>13019</v>
      </c>
      <c r="J32" s="2">
        <v>41814</v>
      </c>
      <c r="K32" t="s">
        <v>81</v>
      </c>
      <c r="L32" t="s">
        <v>83</v>
      </c>
      <c r="M32" s="2">
        <v>29446</v>
      </c>
      <c r="N32" t="s">
        <v>95</v>
      </c>
      <c r="O32">
        <v>14664</v>
      </c>
      <c r="P32">
        <v>14328</v>
      </c>
      <c r="Q32">
        <v>5320</v>
      </c>
      <c r="R32">
        <v>0.09</v>
      </c>
      <c r="S32" s="4">
        <v>1.6858204790952387</v>
      </c>
      <c r="T32" s="4">
        <v>7.0470312824955101</v>
      </c>
      <c r="U32">
        <v>99.219562581187546</v>
      </c>
      <c r="V32">
        <v>6</v>
      </c>
      <c r="W32">
        <v>294</v>
      </c>
      <c r="X32">
        <v>4</v>
      </c>
      <c r="Y32">
        <v>1</v>
      </c>
      <c r="Z32">
        <v>0</v>
      </c>
    </row>
    <row r="33" spans="1:26" x14ac:dyDescent="0.25">
      <c r="A33" t="s">
        <v>13</v>
      </c>
      <c r="B33">
        <v>9036</v>
      </c>
      <c r="C33" t="s">
        <v>35</v>
      </c>
      <c r="D33" t="s">
        <v>56</v>
      </c>
      <c r="E33">
        <v>2</v>
      </c>
      <c r="F33" t="s">
        <v>70</v>
      </c>
      <c r="G33" t="s">
        <v>75</v>
      </c>
      <c r="H33" t="s">
        <v>77</v>
      </c>
      <c r="I33">
        <v>13562</v>
      </c>
      <c r="J33" s="2">
        <v>43175</v>
      </c>
      <c r="K33" t="s">
        <v>81</v>
      </c>
      <c r="L33" t="s">
        <v>83</v>
      </c>
      <c r="M33" s="2">
        <v>32231</v>
      </c>
      <c r="N33" t="s">
        <v>96</v>
      </c>
      <c r="O33">
        <v>7925</v>
      </c>
      <c r="P33">
        <v>17974</v>
      </c>
      <c r="Q33">
        <v>5544</v>
      </c>
      <c r="R33">
        <v>0.45</v>
      </c>
      <c r="S33" s="4">
        <v>4.4772290207396264</v>
      </c>
      <c r="T33" s="4">
        <v>7.0130232243741419</v>
      </c>
      <c r="U33">
        <v>95.635512409962828</v>
      </c>
      <c r="V33">
        <v>2</v>
      </c>
      <c r="W33">
        <v>134</v>
      </c>
      <c r="X33">
        <v>3</v>
      </c>
      <c r="Y33">
        <v>1</v>
      </c>
      <c r="Z33">
        <v>0</v>
      </c>
    </row>
    <row r="34" spans="1:26" x14ac:dyDescent="0.25">
      <c r="A34" t="s">
        <v>15</v>
      </c>
      <c r="B34">
        <v>3714</v>
      </c>
      <c r="C34" t="s">
        <v>25</v>
      </c>
      <c r="D34" t="s">
        <v>56</v>
      </c>
      <c r="E34">
        <v>2</v>
      </c>
      <c r="F34" t="s">
        <v>65</v>
      </c>
      <c r="G34" t="s">
        <v>76</v>
      </c>
      <c r="H34" t="s">
        <v>78</v>
      </c>
      <c r="I34">
        <v>7634</v>
      </c>
      <c r="J34" s="2">
        <v>40483</v>
      </c>
      <c r="K34" t="s">
        <v>81</v>
      </c>
      <c r="L34" t="s">
        <v>83</v>
      </c>
      <c r="M34" s="2">
        <v>24094</v>
      </c>
      <c r="N34" t="s">
        <v>91</v>
      </c>
      <c r="O34">
        <v>12172</v>
      </c>
      <c r="P34">
        <v>8408</v>
      </c>
      <c r="Q34">
        <v>5234</v>
      </c>
      <c r="R34">
        <v>0.4</v>
      </c>
      <c r="S34" s="4">
        <v>2.8735014064414734</v>
      </c>
      <c r="T34" s="4">
        <v>9.4354450162595995</v>
      </c>
      <c r="U34">
        <v>82.013257716642457</v>
      </c>
      <c r="V34">
        <v>2</v>
      </c>
      <c r="W34">
        <v>145</v>
      </c>
      <c r="X34">
        <v>3</v>
      </c>
      <c r="Y34">
        <v>1</v>
      </c>
      <c r="Z34">
        <v>0</v>
      </c>
    </row>
    <row r="35" spans="1:26" x14ac:dyDescent="0.25">
      <c r="A35" t="s">
        <v>16</v>
      </c>
      <c r="B35">
        <v>5636</v>
      </c>
      <c r="C35" t="s">
        <v>24</v>
      </c>
      <c r="D35" t="s">
        <v>52</v>
      </c>
      <c r="E35">
        <v>7</v>
      </c>
      <c r="F35" t="s">
        <v>64</v>
      </c>
      <c r="G35" t="s">
        <v>76</v>
      </c>
      <c r="H35" t="s">
        <v>79</v>
      </c>
      <c r="I35">
        <v>24165</v>
      </c>
      <c r="J35" s="2">
        <v>40681</v>
      </c>
      <c r="K35" t="s">
        <v>82</v>
      </c>
      <c r="L35" t="s">
        <v>83</v>
      </c>
      <c r="M35" s="2">
        <v>28776</v>
      </c>
      <c r="N35" t="s">
        <v>86</v>
      </c>
      <c r="O35">
        <v>15565</v>
      </c>
      <c r="P35">
        <v>11271</v>
      </c>
      <c r="Q35">
        <v>5565</v>
      </c>
      <c r="R35">
        <v>0.45</v>
      </c>
      <c r="S35" s="4">
        <v>3.4309766563419193</v>
      </c>
      <c r="T35" s="4">
        <v>7.8714108298106105</v>
      </c>
      <c r="U35">
        <v>88.555234914073708</v>
      </c>
      <c r="V35">
        <v>2</v>
      </c>
      <c r="W35">
        <v>140</v>
      </c>
      <c r="X35">
        <v>3</v>
      </c>
      <c r="Y35">
        <v>1</v>
      </c>
      <c r="Z35">
        <v>0</v>
      </c>
    </row>
    <row r="36" spans="1:26" x14ac:dyDescent="0.25">
      <c r="A36" t="s">
        <v>17</v>
      </c>
      <c r="B36">
        <v>4230</v>
      </c>
      <c r="C36" t="s">
        <v>31</v>
      </c>
      <c r="D36" t="s">
        <v>55</v>
      </c>
      <c r="E36">
        <v>2</v>
      </c>
      <c r="F36" t="s">
        <v>68</v>
      </c>
      <c r="G36" t="s">
        <v>76</v>
      </c>
      <c r="H36" t="s">
        <v>79</v>
      </c>
      <c r="I36">
        <v>17197</v>
      </c>
      <c r="J36" s="2">
        <v>41003</v>
      </c>
      <c r="K36" t="s">
        <v>82</v>
      </c>
      <c r="L36" t="s">
        <v>83</v>
      </c>
      <c r="M36" s="2">
        <v>29298</v>
      </c>
      <c r="N36" t="s">
        <v>87</v>
      </c>
      <c r="O36">
        <v>12996</v>
      </c>
      <c r="P36">
        <v>8740</v>
      </c>
      <c r="Q36">
        <v>5326</v>
      </c>
      <c r="R36">
        <v>0.84</v>
      </c>
      <c r="S36" s="4">
        <v>3.8585120326103937</v>
      </c>
      <c r="T36" s="4">
        <v>5.6438325113956989</v>
      </c>
      <c r="U36">
        <v>89.489147260527972</v>
      </c>
      <c r="V36">
        <v>4</v>
      </c>
      <c r="W36">
        <v>246</v>
      </c>
      <c r="X36">
        <v>6</v>
      </c>
      <c r="Y36">
        <v>1</v>
      </c>
      <c r="Z36">
        <v>0</v>
      </c>
    </row>
    <row r="37" spans="1:26" x14ac:dyDescent="0.25">
      <c r="A37" t="s">
        <v>14</v>
      </c>
      <c r="B37">
        <v>8641</v>
      </c>
      <c r="C37" t="s">
        <v>36</v>
      </c>
      <c r="D37" t="s">
        <v>59</v>
      </c>
      <c r="E37">
        <v>3</v>
      </c>
      <c r="F37" t="s">
        <v>65</v>
      </c>
      <c r="G37" t="s">
        <v>76</v>
      </c>
      <c r="H37" t="s">
        <v>78</v>
      </c>
      <c r="I37">
        <v>11315</v>
      </c>
      <c r="J37" s="2">
        <v>41814</v>
      </c>
      <c r="K37" t="s">
        <v>81</v>
      </c>
      <c r="L37" t="s">
        <v>83</v>
      </c>
      <c r="M37" s="2">
        <v>28901</v>
      </c>
      <c r="N37" t="s">
        <v>91</v>
      </c>
      <c r="O37">
        <v>9419</v>
      </c>
      <c r="P37">
        <v>12212</v>
      </c>
      <c r="Q37">
        <v>5399</v>
      </c>
      <c r="R37">
        <v>0.1</v>
      </c>
      <c r="S37" s="4">
        <v>2.4231247066775108</v>
      </c>
      <c r="T37" s="4">
        <v>6.3701588208632218</v>
      </c>
      <c r="U37">
        <v>99.339047718057714</v>
      </c>
      <c r="V37">
        <v>6</v>
      </c>
      <c r="W37">
        <v>255</v>
      </c>
      <c r="X37">
        <v>4</v>
      </c>
      <c r="Y37">
        <v>1</v>
      </c>
      <c r="Z37">
        <v>0</v>
      </c>
    </row>
    <row r="38" spans="1:26" x14ac:dyDescent="0.25">
      <c r="A38" t="s">
        <v>13</v>
      </c>
      <c r="B38">
        <v>4081</v>
      </c>
      <c r="C38" t="s">
        <v>37</v>
      </c>
      <c r="D38" t="s">
        <v>54</v>
      </c>
      <c r="E38">
        <v>2</v>
      </c>
      <c r="F38" t="s">
        <v>68</v>
      </c>
      <c r="G38" t="s">
        <v>75</v>
      </c>
      <c r="H38" t="s">
        <v>77</v>
      </c>
      <c r="I38">
        <v>36400</v>
      </c>
      <c r="J38" s="2">
        <v>43175</v>
      </c>
      <c r="K38" t="s">
        <v>81</v>
      </c>
      <c r="L38" t="s">
        <v>83</v>
      </c>
      <c r="M38" s="2">
        <v>31728</v>
      </c>
      <c r="N38" t="s">
        <v>98</v>
      </c>
      <c r="O38">
        <v>18946</v>
      </c>
      <c r="P38">
        <v>16393</v>
      </c>
      <c r="Q38">
        <v>5230</v>
      </c>
      <c r="R38">
        <v>0.38</v>
      </c>
      <c r="S38" s="4">
        <v>3.5815316019495729</v>
      </c>
      <c r="T38" s="4">
        <v>8.9919078575225946</v>
      </c>
      <c r="U38">
        <v>99.41766580973723</v>
      </c>
      <c r="V38">
        <v>2</v>
      </c>
      <c r="W38">
        <v>137</v>
      </c>
      <c r="X38">
        <v>3</v>
      </c>
      <c r="Y38">
        <v>1</v>
      </c>
      <c r="Z38">
        <v>0</v>
      </c>
    </row>
    <row r="39" spans="1:26" x14ac:dyDescent="0.25">
      <c r="A39" t="s">
        <v>14</v>
      </c>
      <c r="B39">
        <v>4636</v>
      </c>
      <c r="C39" t="s">
        <v>33</v>
      </c>
      <c r="D39" t="s">
        <v>56</v>
      </c>
      <c r="E39">
        <v>3</v>
      </c>
      <c r="F39" t="s">
        <v>65</v>
      </c>
      <c r="G39" t="s">
        <v>76</v>
      </c>
      <c r="H39" t="s">
        <v>78</v>
      </c>
      <c r="I39">
        <v>13019</v>
      </c>
      <c r="J39" s="2">
        <v>41814</v>
      </c>
      <c r="K39" t="s">
        <v>81</v>
      </c>
      <c r="L39" t="s">
        <v>83</v>
      </c>
      <c r="M39" s="2">
        <v>30603</v>
      </c>
      <c r="N39" t="s">
        <v>93</v>
      </c>
      <c r="O39">
        <v>13184</v>
      </c>
      <c r="P39">
        <v>14527</v>
      </c>
      <c r="Q39">
        <v>5503</v>
      </c>
      <c r="R39">
        <v>0.45</v>
      </c>
      <c r="S39" s="4">
        <v>4.0969648060238608</v>
      </c>
      <c r="T39" s="4">
        <v>7.4485759145154304</v>
      </c>
      <c r="U39">
        <v>82.378199192057266</v>
      </c>
      <c r="V39">
        <v>2</v>
      </c>
      <c r="W39">
        <v>126</v>
      </c>
      <c r="X39">
        <v>3</v>
      </c>
      <c r="Y39">
        <v>1</v>
      </c>
      <c r="Z39">
        <v>0</v>
      </c>
    </row>
    <row r="40" spans="1:26" x14ac:dyDescent="0.25">
      <c r="A40" t="s">
        <v>14</v>
      </c>
      <c r="B40">
        <v>3222</v>
      </c>
      <c r="C40" t="s">
        <v>36</v>
      </c>
      <c r="D40" t="s">
        <v>59</v>
      </c>
      <c r="E40">
        <v>3</v>
      </c>
      <c r="F40" t="s">
        <v>65</v>
      </c>
      <c r="G40" t="s">
        <v>76</v>
      </c>
      <c r="H40" t="s">
        <v>78</v>
      </c>
      <c r="I40">
        <v>11315</v>
      </c>
      <c r="J40" s="2">
        <v>41814</v>
      </c>
      <c r="K40" t="s">
        <v>81</v>
      </c>
      <c r="L40" t="s">
        <v>83</v>
      </c>
      <c r="M40" s="2">
        <v>27862</v>
      </c>
      <c r="N40" t="s">
        <v>86</v>
      </c>
      <c r="O40">
        <v>16824</v>
      </c>
      <c r="P40">
        <v>5597</v>
      </c>
      <c r="Q40">
        <v>5350</v>
      </c>
      <c r="R40">
        <v>0.11</v>
      </c>
      <c r="S40" s="4">
        <v>1.3723251587767802</v>
      </c>
      <c r="T40" s="4">
        <v>5.0465736881068901</v>
      </c>
      <c r="U40">
        <v>84.917346552077873</v>
      </c>
      <c r="V40">
        <v>6</v>
      </c>
      <c r="W40">
        <v>306</v>
      </c>
      <c r="X40">
        <v>4</v>
      </c>
      <c r="Y40">
        <v>1</v>
      </c>
      <c r="Z40">
        <v>0</v>
      </c>
    </row>
    <row r="41" spans="1:26" x14ac:dyDescent="0.25">
      <c r="A41" t="s">
        <v>13</v>
      </c>
      <c r="B41">
        <v>5109</v>
      </c>
      <c r="C41" t="s">
        <v>18</v>
      </c>
      <c r="D41" t="s">
        <v>52</v>
      </c>
      <c r="E41">
        <v>5</v>
      </c>
      <c r="F41" t="s">
        <v>69</v>
      </c>
      <c r="G41" t="s">
        <v>75</v>
      </c>
      <c r="H41" t="s">
        <v>77</v>
      </c>
      <c r="I41">
        <v>20777</v>
      </c>
      <c r="J41" s="2">
        <v>43175</v>
      </c>
      <c r="K41" t="s">
        <v>81</v>
      </c>
      <c r="L41" t="s">
        <v>83</v>
      </c>
      <c r="M41" s="2">
        <v>32339</v>
      </c>
      <c r="N41" t="s">
        <v>99</v>
      </c>
      <c r="O41">
        <v>17667</v>
      </c>
      <c r="P41">
        <v>9495</v>
      </c>
      <c r="Q41">
        <v>5085</v>
      </c>
      <c r="R41">
        <v>0.41</v>
      </c>
      <c r="S41" s="4">
        <v>3.9009174159635873</v>
      </c>
      <c r="T41" s="4">
        <v>7.9768182365665732</v>
      </c>
      <c r="U41">
        <v>80.524133083487243</v>
      </c>
      <c r="V41">
        <v>2</v>
      </c>
      <c r="W41">
        <v>152</v>
      </c>
      <c r="X41">
        <v>3</v>
      </c>
      <c r="Y41">
        <v>1</v>
      </c>
      <c r="Z41">
        <v>0</v>
      </c>
    </row>
    <row r="42" spans="1:26" x14ac:dyDescent="0.25">
      <c r="A42" t="s">
        <v>15</v>
      </c>
      <c r="B42">
        <v>4524</v>
      </c>
      <c r="C42" t="s">
        <v>25</v>
      </c>
      <c r="D42" t="s">
        <v>56</v>
      </c>
      <c r="E42">
        <v>2</v>
      </c>
      <c r="F42" t="s">
        <v>65</v>
      </c>
      <c r="G42" t="s">
        <v>76</v>
      </c>
      <c r="H42" t="s">
        <v>78</v>
      </c>
      <c r="I42">
        <v>7634</v>
      </c>
      <c r="J42" s="2">
        <v>40483</v>
      </c>
      <c r="K42" t="s">
        <v>81</v>
      </c>
      <c r="L42" t="s">
        <v>83</v>
      </c>
      <c r="M42" s="2">
        <v>25117</v>
      </c>
      <c r="N42" t="s">
        <v>98</v>
      </c>
      <c r="O42">
        <v>13177</v>
      </c>
      <c r="P42">
        <v>11558</v>
      </c>
      <c r="Q42">
        <v>5549</v>
      </c>
      <c r="R42">
        <v>0.87</v>
      </c>
      <c r="S42" s="4">
        <v>4.6428726247592547</v>
      </c>
      <c r="T42" s="4">
        <v>9.3531133106568483</v>
      </c>
      <c r="U42">
        <v>80.530053691478045</v>
      </c>
      <c r="V42">
        <v>5</v>
      </c>
      <c r="W42">
        <v>269</v>
      </c>
      <c r="X42">
        <v>5</v>
      </c>
      <c r="Y42">
        <v>1</v>
      </c>
      <c r="Z42">
        <v>0</v>
      </c>
    </row>
    <row r="43" spans="1:26" x14ac:dyDescent="0.25">
      <c r="A43" t="s">
        <v>15</v>
      </c>
      <c r="B43">
        <v>4248</v>
      </c>
      <c r="C43" t="s">
        <v>25</v>
      </c>
      <c r="D43" t="s">
        <v>56</v>
      </c>
      <c r="E43">
        <v>2</v>
      </c>
      <c r="F43" t="s">
        <v>65</v>
      </c>
      <c r="G43" t="s">
        <v>76</v>
      </c>
      <c r="H43" t="s">
        <v>78</v>
      </c>
      <c r="I43">
        <v>7634</v>
      </c>
      <c r="J43" s="2">
        <v>40483</v>
      </c>
      <c r="K43" t="s">
        <v>81</v>
      </c>
      <c r="L43" t="s">
        <v>83</v>
      </c>
      <c r="M43" s="2">
        <v>28477</v>
      </c>
      <c r="N43" t="s">
        <v>87</v>
      </c>
      <c r="O43">
        <v>8934</v>
      </c>
      <c r="P43">
        <v>17288</v>
      </c>
      <c r="Q43">
        <v>5249</v>
      </c>
      <c r="R43">
        <v>0.45</v>
      </c>
      <c r="S43" s="4">
        <v>4.7092530692121244</v>
      </c>
      <c r="T43" s="4">
        <v>6.2955696994934645</v>
      </c>
      <c r="U43">
        <v>92.102358965019221</v>
      </c>
      <c r="V43">
        <v>2</v>
      </c>
      <c r="W43">
        <v>158</v>
      </c>
      <c r="X43">
        <v>3</v>
      </c>
      <c r="Y43">
        <v>1</v>
      </c>
      <c r="Z43">
        <v>0</v>
      </c>
    </row>
    <row r="44" spans="1:26" x14ac:dyDescent="0.25">
      <c r="A44" t="s">
        <v>16</v>
      </c>
      <c r="B44">
        <v>2639</v>
      </c>
      <c r="C44" t="s">
        <v>26</v>
      </c>
      <c r="D44" t="s">
        <v>55</v>
      </c>
      <c r="E44">
        <v>4</v>
      </c>
      <c r="F44" t="s">
        <v>64</v>
      </c>
      <c r="G44" t="s">
        <v>76</v>
      </c>
      <c r="H44" t="s">
        <v>79</v>
      </c>
      <c r="I44">
        <v>29493</v>
      </c>
      <c r="J44" s="2">
        <v>40681</v>
      </c>
      <c r="K44" t="s">
        <v>82</v>
      </c>
      <c r="L44" t="s">
        <v>84</v>
      </c>
      <c r="M44" s="2">
        <v>31504</v>
      </c>
      <c r="N44" t="s">
        <v>98</v>
      </c>
      <c r="O44">
        <v>7482</v>
      </c>
      <c r="P44">
        <v>5110</v>
      </c>
      <c r="Q44">
        <v>5692</v>
      </c>
      <c r="R44">
        <v>0.4</v>
      </c>
      <c r="S44" s="4">
        <v>2.0901887706507014</v>
      </c>
      <c r="T44" s="4">
        <v>5.077860929810261</v>
      </c>
      <c r="U44">
        <v>94.494406280813138</v>
      </c>
      <c r="V44">
        <v>2</v>
      </c>
      <c r="W44">
        <v>127</v>
      </c>
      <c r="X44">
        <v>3</v>
      </c>
      <c r="Y44">
        <v>1</v>
      </c>
      <c r="Z44">
        <v>0</v>
      </c>
    </row>
    <row r="45" spans="1:26" x14ac:dyDescent="0.25">
      <c r="A45" t="s">
        <v>17</v>
      </c>
      <c r="B45">
        <v>7632</v>
      </c>
      <c r="C45" t="s">
        <v>28</v>
      </c>
      <c r="D45" t="s">
        <v>55</v>
      </c>
      <c r="E45">
        <v>2</v>
      </c>
      <c r="F45" t="s">
        <v>67</v>
      </c>
      <c r="G45" t="s">
        <v>76</v>
      </c>
      <c r="H45" t="s">
        <v>79</v>
      </c>
      <c r="I45">
        <v>17197</v>
      </c>
      <c r="J45" s="2">
        <v>41003</v>
      </c>
      <c r="K45" t="s">
        <v>82</v>
      </c>
      <c r="L45" t="s">
        <v>83</v>
      </c>
      <c r="M45" s="2">
        <v>27422</v>
      </c>
      <c r="N45" t="s">
        <v>86</v>
      </c>
      <c r="O45">
        <v>19981</v>
      </c>
      <c r="P45">
        <v>6549</v>
      </c>
      <c r="Q45">
        <v>5796</v>
      </c>
      <c r="R45">
        <v>0.1</v>
      </c>
      <c r="S45" s="4">
        <v>1.781681195243491</v>
      </c>
      <c r="T45" s="4">
        <v>9.4126349149496082</v>
      </c>
      <c r="U45">
        <v>82.736191867756716</v>
      </c>
      <c r="V45">
        <v>7</v>
      </c>
      <c r="W45">
        <v>281</v>
      </c>
      <c r="X45">
        <v>4</v>
      </c>
      <c r="Y45">
        <v>1</v>
      </c>
      <c r="Z45">
        <v>0</v>
      </c>
    </row>
    <row r="46" spans="1:26" x14ac:dyDescent="0.25">
      <c r="A46" t="s">
        <v>14</v>
      </c>
      <c r="B46">
        <v>6434</v>
      </c>
      <c r="C46" t="s">
        <v>33</v>
      </c>
      <c r="D46" t="s">
        <v>56</v>
      </c>
      <c r="E46">
        <v>3</v>
      </c>
      <c r="F46" t="s">
        <v>65</v>
      </c>
      <c r="G46" t="s">
        <v>76</v>
      </c>
      <c r="H46" t="s">
        <v>78</v>
      </c>
      <c r="I46">
        <v>13019</v>
      </c>
      <c r="J46" s="2">
        <v>41814</v>
      </c>
      <c r="K46" t="s">
        <v>81</v>
      </c>
      <c r="L46" t="s">
        <v>83</v>
      </c>
      <c r="M46" s="2">
        <v>24918</v>
      </c>
      <c r="N46" t="s">
        <v>99</v>
      </c>
      <c r="O46">
        <v>16699</v>
      </c>
      <c r="P46">
        <v>6446</v>
      </c>
      <c r="Q46">
        <v>5197</v>
      </c>
      <c r="R46">
        <v>0.09</v>
      </c>
      <c r="S46" s="4">
        <v>1.5890079921858851</v>
      </c>
      <c r="T46" s="4">
        <v>8.3639549107417608</v>
      </c>
      <c r="U46">
        <v>90.484722404055091</v>
      </c>
      <c r="V46">
        <v>6</v>
      </c>
      <c r="W46">
        <v>276</v>
      </c>
      <c r="X46">
        <v>4</v>
      </c>
      <c r="Y46">
        <v>1</v>
      </c>
      <c r="Z46">
        <v>0</v>
      </c>
    </row>
    <row r="47" spans="1:26" x14ac:dyDescent="0.25">
      <c r="A47" t="s">
        <v>13</v>
      </c>
      <c r="B47">
        <v>8136</v>
      </c>
      <c r="C47" t="s">
        <v>38</v>
      </c>
      <c r="D47" t="s">
        <v>52</v>
      </c>
      <c r="E47">
        <v>2</v>
      </c>
      <c r="F47" t="s">
        <v>70</v>
      </c>
      <c r="G47" t="s">
        <v>75</v>
      </c>
      <c r="H47" t="s">
        <v>77</v>
      </c>
      <c r="I47">
        <v>22303</v>
      </c>
      <c r="J47" s="2">
        <v>43175</v>
      </c>
      <c r="K47" t="s">
        <v>81</v>
      </c>
      <c r="L47" t="s">
        <v>83</v>
      </c>
      <c r="M47" s="2">
        <v>31347</v>
      </c>
      <c r="N47" t="s">
        <v>98</v>
      </c>
      <c r="O47">
        <v>9964</v>
      </c>
      <c r="P47">
        <v>15664</v>
      </c>
      <c r="Q47">
        <v>5008</v>
      </c>
      <c r="R47">
        <v>0.84</v>
      </c>
      <c r="S47" s="4">
        <v>2.6581491574677845</v>
      </c>
      <c r="T47" s="4">
        <v>9.9514742970739078</v>
      </c>
      <c r="U47">
        <v>95.358161994663746</v>
      </c>
      <c r="V47">
        <v>3</v>
      </c>
      <c r="W47">
        <v>182</v>
      </c>
      <c r="X47">
        <v>4</v>
      </c>
      <c r="Y47">
        <v>1</v>
      </c>
      <c r="Z47">
        <v>0</v>
      </c>
    </row>
    <row r="48" spans="1:26" x14ac:dyDescent="0.25">
      <c r="A48" t="s">
        <v>15</v>
      </c>
      <c r="B48">
        <v>2394</v>
      </c>
      <c r="C48" t="s">
        <v>25</v>
      </c>
      <c r="D48" t="s">
        <v>56</v>
      </c>
      <c r="E48">
        <v>2</v>
      </c>
      <c r="F48" t="s">
        <v>65</v>
      </c>
      <c r="G48" t="s">
        <v>76</v>
      </c>
      <c r="H48" t="s">
        <v>78</v>
      </c>
      <c r="I48">
        <v>7634</v>
      </c>
      <c r="J48" s="2">
        <v>40483</v>
      </c>
      <c r="K48" t="s">
        <v>81</v>
      </c>
      <c r="L48" t="s">
        <v>83</v>
      </c>
      <c r="M48" s="2">
        <v>23507</v>
      </c>
      <c r="N48" t="s">
        <v>96</v>
      </c>
      <c r="O48">
        <v>13735</v>
      </c>
      <c r="P48">
        <v>11464</v>
      </c>
      <c r="Q48">
        <v>5467</v>
      </c>
      <c r="R48">
        <v>0.4</v>
      </c>
      <c r="S48" s="4">
        <v>3.0748032417119968</v>
      </c>
      <c r="T48" s="4">
        <v>6.5117025920411375</v>
      </c>
      <c r="U48">
        <v>88.109715441327836</v>
      </c>
      <c r="V48">
        <v>2</v>
      </c>
      <c r="W48">
        <v>147</v>
      </c>
      <c r="X48">
        <v>3</v>
      </c>
      <c r="Y48">
        <v>1</v>
      </c>
      <c r="Z48">
        <v>0</v>
      </c>
    </row>
    <row r="49" spans="1:26" x14ac:dyDescent="0.25">
      <c r="A49" t="s">
        <v>16</v>
      </c>
      <c r="B49">
        <v>7430</v>
      </c>
      <c r="C49" t="s">
        <v>27</v>
      </c>
      <c r="D49" t="s">
        <v>54</v>
      </c>
      <c r="E49">
        <v>4</v>
      </c>
      <c r="F49" t="s">
        <v>64</v>
      </c>
      <c r="G49" t="s">
        <v>76</v>
      </c>
      <c r="H49" t="s">
        <v>79</v>
      </c>
      <c r="I49">
        <v>35936</v>
      </c>
      <c r="J49" s="2">
        <v>40681</v>
      </c>
      <c r="K49" t="s">
        <v>82</v>
      </c>
      <c r="L49" t="s">
        <v>83</v>
      </c>
      <c r="M49" s="2">
        <v>28288</v>
      </c>
      <c r="N49" t="s">
        <v>93</v>
      </c>
      <c r="O49">
        <v>14890</v>
      </c>
      <c r="P49">
        <v>4918</v>
      </c>
      <c r="Q49">
        <v>5851</v>
      </c>
      <c r="R49">
        <v>0.56999999999999995</v>
      </c>
      <c r="S49" s="4">
        <v>3.5020686633510891</v>
      </c>
      <c r="T49" s="4">
        <v>6.3428609723165685</v>
      </c>
      <c r="U49">
        <v>91.325829382742427</v>
      </c>
      <c r="V49">
        <v>3</v>
      </c>
      <c r="W49">
        <v>273</v>
      </c>
      <c r="X49">
        <v>6</v>
      </c>
      <c r="Y49">
        <v>1</v>
      </c>
      <c r="Z49">
        <v>0</v>
      </c>
    </row>
    <row r="50" spans="1:26" x14ac:dyDescent="0.25">
      <c r="A50" t="s">
        <v>17</v>
      </c>
      <c r="B50">
        <v>6040</v>
      </c>
      <c r="C50" t="s">
        <v>31</v>
      </c>
      <c r="D50" t="s">
        <v>55</v>
      </c>
      <c r="E50">
        <v>2</v>
      </c>
      <c r="F50" t="s">
        <v>68</v>
      </c>
      <c r="G50" t="s">
        <v>76</v>
      </c>
      <c r="H50" t="s">
        <v>79</v>
      </c>
      <c r="I50">
        <v>17197</v>
      </c>
      <c r="J50" s="2">
        <v>41003</v>
      </c>
      <c r="K50" t="s">
        <v>82</v>
      </c>
      <c r="L50" t="s">
        <v>83</v>
      </c>
      <c r="M50" s="2">
        <v>29298</v>
      </c>
      <c r="N50" t="s">
        <v>92</v>
      </c>
      <c r="O50">
        <v>7317</v>
      </c>
      <c r="P50">
        <v>16873</v>
      </c>
      <c r="Q50">
        <v>5875</v>
      </c>
      <c r="R50">
        <v>0.4</v>
      </c>
      <c r="S50" s="4">
        <v>1.7841293170443966</v>
      </c>
      <c r="T50" s="4">
        <v>9.1118331550542351</v>
      </c>
      <c r="U50">
        <v>86.667970506225444</v>
      </c>
      <c r="V50">
        <v>2</v>
      </c>
      <c r="W50">
        <v>148</v>
      </c>
      <c r="X50">
        <v>3</v>
      </c>
      <c r="Y50">
        <v>1</v>
      </c>
      <c r="Z50">
        <v>0</v>
      </c>
    </row>
    <row r="51" spans="1:26" x14ac:dyDescent="0.25">
      <c r="A51" t="s">
        <v>14</v>
      </c>
      <c r="B51">
        <v>8379</v>
      </c>
      <c r="C51" t="s">
        <v>32</v>
      </c>
      <c r="D51" t="s">
        <v>56</v>
      </c>
      <c r="E51">
        <v>3</v>
      </c>
      <c r="F51" t="s">
        <v>65</v>
      </c>
      <c r="G51" t="s">
        <v>76</v>
      </c>
      <c r="H51" t="s">
        <v>78</v>
      </c>
      <c r="I51">
        <v>13019</v>
      </c>
      <c r="J51" s="2">
        <v>41814</v>
      </c>
      <c r="K51" t="s">
        <v>81</v>
      </c>
      <c r="L51" t="s">
        <v>83</v>
      </c>
      <c r="M51" s="2">
        <v>26714</v>
      </c>
      <c r="N51" t="s">
        <v>91</v>
      </c>
      <c r="O51">
        <v>10888</v>
      </c>
      <c r="P51">
        <v>7089</v>
      </c>
      <c r="Q51">
        <v>5927</v>
      </c>
      <c r="R51">
        <v>0.43</v>
      </c>
      <c r="S51" s="4">
        <v>1.3342989721763971</v>
      </c>
      <c r="T51" s="4">
        <v>7.9324036551311359</v>
      </c>
      <c r="U51">
        <v>89.571662073482742</v>
      </c>
      <c r="V51">
        <v>2</v>
      </c>
      <c r="W51">
        <v>147</v>
      </c>
      <c r="X51">
        <v>3</v>
      </c>
      <c r="Y51">
        <v>1</v>
      </c>
      <c r="Z51">
        <v>0</v>
      </c>
    </row>
    <row r="52" spans="1:26" x14ac:dyDescent="0.25">
      <c r="A52" t="s">
        <v>13</v>
      </c>
      <c r="B52">
        <v>4912</v>
      </c>
      <c r="C52" t="s">
        <v>18</v>
      </c>
      <c r="D52" t="s">
        <v>52</v>
      </c>
      <c r="E52">
        <v>3</v>
      </c>
      <c r="F52" t="s">
        <v>67</v>
      </c>
      <c r="G52" t="s">
        <v>75</v>
      </c>
      <c r="H52" t="s">
        <v>77</v>
      </c>
      <c r="I52">
        <v>20081</v>
      </c>
      <c r="J52" s="2">
        <v>43175</v>
      </c>
      <c r="K52" t="s">
        <v>81</v>
      </c>
      <c r="L52" t="s">
        <v>83</v>
      </c>
      <c r="M52" s="2">
        <v>31681</v>
      </c>
      <c r="N52" t="s">
        <v>88</v>
      </c>
      <c r="O52">
        <v>16023</v>
      </c>
      <c r="P52">
        <v>3763</v>
      </c>
      <c r="Q52">
        <v>5732</v>
      </c>
      <c r="R52">
        <v>0.13</v>
      </c>
      <c r="S52" s="4">
        <v>4.6222357048882259</v>
      </c>
      <c r="T52" s="4">
        <v>5.8520214366598244</v>
      </c>
      <c r="U52">
        <v>87.03720923618279</v>
      </c>
      <c r="V52">
        <v>6</v>
      </c>
      <c r="W52">
        <v>152</v>
      </c>
      <c r="X52">
        <v>2</v>
      </c>
      <c r="Y52">
        <v>1</v>
      </c>
      <c r="Z52">
        <v>0</v>
      </c>
    </row>
    <row r="53" spans="1:26" x14ac:dyDescent="0.25">
      <c r="A53" t="s">
        <v>15</v>
      </c>
      <c r="B53">
        <v>2012</v>
      </c>
      <c r="C53" t="s">
        <v>25</v>
      </c>
      <c r="D53" t="s">
        <v>56</v>
      </c>
      <c r="E53">
        <v>2</v>
      </c>
      <c r="F53" t="s">
        <v>65</v>
      </c>
      <c r="G53" t="s">
        <v>76</v>
      </c>
      <c r="H53" t="s">
        <v>78</v>
      </c>
      <c r="I53">
        <v>7634</v>
      </c>
      <c r="J53" s="2">
        <v>40483</v>
      </c>
      <c r="K53" t="s">
        <v>81</v>
      </c>
      <c r="L53" t="s">
        <v>83</v>
      </c>
      <c r="M53" s="2">
        <v>20140</v>
      </c>
      <c r="N53" t="s">
        <v>85</v>
      </c>
      <c r="O53">
        <v>16103</v>
      </c>
      <c r="P53">
        <v>13491</v>
      </c>
      <c r="Q53">
        <v>5950</v>
      </c>
      <c r="R53">
        <v>0.44</v>
      </c>
      <c r="S53" s="4">
        <v>4.4657047885641727</v>
      </c>
      <c r="T53" s="4">
        <v>8.5072866983436466</v>
      </c>
      <c r="U53">
        <v>94.246228502967583</v>
      </c>
      <c r="V53">
        <v>2</v>
      </c>
      <c r="W53">
        <v>135</v>
      </c>
      <c r="X53">
        <v>3</v>
      </c>
      <c r="Y53">
        <v>1</v>
      </c>
      <c r="Z53">
        <v>0</v>
      </c>
    </row>
    <row r="54" spans="1:26" x14ac:dyDescent="0.25">
      <c r="A54" t="s">
        <v>16</v>
      </c>
      <c r="B54">
        <v>4433</v>
      </c>
      <c r="C54" t="s">
        <v>24</v>
      </c>
      <c r="D54" t="s">
        <v>52</v>
      </c>
      <c r="E54">
        <v>8</v>
      </c>
      <c r="F54" t="s">
        <v>64</v>
      </c>
      <c r="G54" t="s">
        <v>76</v>
      </c>
      <c r="H54" t="s">
        <v>79</v>
      </c>
      <c r="I54">
        <v>24165</v>
      </c>
      <c r="J54" s="2">
        <v>40681</v>
      </c>
      <c r="K54" t="s">
        <v>82</v>
      </c>
      <c r="L54" t="s">
        <v>83</v>
      </c>
      <c r="M54" s="2">
        <v>28776</v>
      </c>
      <c r="N54" t="s">
        <v>89</v>
      </c>
      <c r="O54">
        <v>11497</v>
      </c>
      <c r="P54">
        <v>12072</v>
      </c>
      <c r="Q54">
        <v>5042</v>
      </c>
      <c r="R54">
        <v>0.38</v>
      </c>
      <c r="S54" s="4">
        <v>4.2159845742783419</v>
      </c>
      <c r="T54" s="4">
        <v>5.4643382385350376</v>
      </c>
      <c r="U54">
        <v>91.61566661958372</v>
      </c>
      <c r="V54">
        <v>2</v>
      </c>
      <c r="W54">
        <v>134</v>
      </c>
      <c r="X54">
        <v>3</v>
      </c>
      <c r="Y54">
        <v>1</v>
      </c>
      <c r="Z54">
        <v>0</v>
      </c>
    </row>
    <row r="55" spans="1:26" x14ac:dyDescent="0.25">
      <c r="A55" t="s">
        <v>15</v>
      </c>
      <c r="B55">
        <v>8229</v>
      </c>
      <c r="C55" t="s">
        <v>25</v>
      </c>
      <c r="D55" t="s">
        <v>56</v>
      </c>
      <c r="E55">
        <v>2</v>
      </c>
      <c r="F55" t="s">
        <v>65</v>
      </c>
      <c r="G55" t="s">
        <v>76</v>
      </c>
      <c r="H55" t="s">
        <v>78</v>
      </c>
      <c r="I55">
        <v>7634</v>
      </c>
      <c r="J55" s="2">
        <v>40483</v>
      </c>
      <c r="K55" t="s">
        <v>81</v>
      </c>
      <c r="L55" t="s">
        <v>83</v>
      </c>
      <c r="M55" s="2">
        <v>29411</v>
      </c>
      <c r="N55" t="s">
        <v>99</v>
      </c>
      <c r="O55">
        <v>17175</v>
      </c>
      <c r="P55">
        <v>7574</v>
      </c>
      <c r="Q55">
        <v>5884</v>
      </c>
      <c r="R55">
        <v>0.39</v>
      </c>
      <c r="S55" s="4">
        <v>1.4749483221608433</v>
      </c>
      <c r="T55" s="4">
        <v>5.0078936015422268</v>
      </c>
      <c r="U55">
        <v>96.188125954036238</v>
      </c>
      <c r="V55">
        <v>2</v>
      </c>
      <c r="W55">
        <v>132</v>
      </c>
      <c r="X55">
        <v>3</v>
      </c>
      <c r="Y55">
        <v>1</v>
      </c>
      <c r="Z55">
        <v>0</v>
      </c>
    </row>
    <row r="56" spans="1:26" x14ac:dyDescent="0.25">
      <c r="A56" t="s">
        <v>16</v>
      </c>
      <c r="B56">
        <v>4054</v>
      </c>
      <c r="C56" t="s">
        <v>24</v>
      </c>
      <c r="D56" t="s">
        <v>52</v>
      </c>
      <c r="E56">
        <v>8</v>
      </c>
      <c r="F56" t="s">
        <v>64</v>
      </c>
      <c r="G56" t="s">
        <v>76</v>
      </c>
      <c r="H56" t="s">
        <v>79</v>
      </c>
      <c r="I56">
        <v>24515</v>
      </c>
      <c r="J56" s="2">
        <v>40681</v>
      </c>
      <c r="K56" t="s">
        <v>82</v>
      </c>
      <c r="L56" t="s">
        <v>83</v>
      </c>
      <c r="M56" s="2">
        <v>28776</v>
      </c>
      <c r="N56" t="s">
        <v>96</v>
      </c>
      <c r="O56">
        <v>6018</v>
      </c>
      <c r="P56">
        <v>10843</v>
      </c>
      <c r="Q56">
        <v>5581</v>
      </c>
      <c r="R56">
        <v>0.1</v>
      </c>
      <c r="S56" s="4">
        <v>1.7934824588318574</v>
      </c>
      <c r="T56" s="4">
        <v>5.0038728621095938</v>
      </c>
      <c r="U56">
        <v>98.776446138560345</v>
      </c>
      <c r="V56">
        <v>7</v>
      </c>
      <c r="W56">
        <v>307</v>
      </c>
      <c r="X56">
        <v>4</v>
      </c>
      <c r="Y56">
        <v>1</v>
      </c>
      <c r="Z56">
        <v>0</v>
      </c>
    </row>
    <row r="57" spans="1:26" x14ac:dyDescent="0.25">
      <c r="A57" t="s">
        <v>15</v>
      </c>
      <c r="B57">
        <v>6266</v>
      </c>
      <c r="C57" t="s">
        <v>25</v>
      </c>
      <c r="D57" t="s">
        <v>56</v>
      </c>
      <c r="E57">
        <v>2</v>
      </c>
      <c r="F57" t="s">
        <v>65</v>
      </c>
      <c r="G57" t="s">
        <v>76</v>
      </c>
      <c r="H57" t="s">
        <v>78</v>
      </c>
      <c r="I57">
        <v>7634</v>
      </c>
      <c r="J57" s="2">
        <v>40483</v>
      </c>
      <c r="K57" t="s">
        <v>81</v>
      </c>
      <c r="L57" t="s">
        <v>83</v>
      </c>
      <c r="M57" s="2">
        <v>28663</v>
      </c>
      <c r="N57" t="s">
        <v>93</v>
      </c>
      <c r="O57">
        <v>6278</v>
      </c>
      <c r="P57">
        <v>11809</v>
      </c>
      <c r="Q57">
        <v>5023</v>
      </c>
      <c r="R57">
        <v>0.37</v>
      </c>
      <c r="S57" s="4">
        <v>4.7177502546592862</v>
      </c>
      <c r="T57" s="4">
        <v>6.1910664739238106</v>
      </c>
      <c r="U57">
        <v>99.081480534374933</v>
      </c>
      <c r="V57">
        <v>2</v>
      </c>
      <c r="W57">
        <v>140</v>
      </c>
      <c r="X57">
        <v>3</v>
      </c>
      <c r="Y57">
        <v>1</v>
      </c>
      <c r="Z57">
        <v>0</v>
      </c>
    </row>
    <row r="58" spans="1:26" x14ac:dyDescent="0.25">
      <c r="A58" t="s">
        <v>16</v>
      </c>
      <c r="B58">
        <v>5223</v>
      </c>
      <c r="C58" t="s">
        <v>26</v>
      </c>
      <c r="D58" t="s">
        <v>55</v>
      </c>
      <c r="E58">
        <v>4</v>
      </c>
      <c r="F58" t="s">
        <v>64</v>
      </c>
      <c r="G58" t="s">
        <v>76</v>
      </c>
      <c r="H58" t="s">
        <v>79</v>
      </c>
      <c r="I58">
        <v>29493</v>
      </c>
      <c r="J58" s="2">
        <v>40681</v>
      </c>
      <c r="K58" t="s">
        <v>82</v>
      </c>
      <c r="L58" t="s">
        <v>84</v>
      </c>
      <c r="M58" s="2">
        <v>31504</v>
      </c>
      <c r="N58" t="s">
        <v>91</v>
      </c>
      <c r="O58">
        <v>11797</v>
      </c>
      <c r="P58">
        <v>11309</v>
      </c>
      <c r="Q58">
        <v>5669</v>
      </c>
      <c r="R58">
        <v>0.11</v>
      </c>
      <c r="S58" s="4">
        <v>2.9178368250980942</v>
      </c>
      <c r="T58" s="4">
        <v>7.5357932305641739</v>
      </c>
      <c r="U58">
        <v>80.371242722971942</v>
      </c>
      <c r="V58">
        <v>7</v>
      </c>
      <c r="W58">
        <v>255</v>
      </c>
      <c r="X58">
        <v>4</v>
      </c>
      <c r="Y58">
        <v>1</v>
      </c>
      <c r="Z58">
        <v>0</v>
      </c>
    </row>
    <row r="59" spans="1:26" x14ac:dyDescent="0.25">
      <c r="A59" t="s">
        <v>17</v>
      </c>
      <c r="B59">
        <v>2992</v>
      </c>
      <c r="C59" t="s">
        <v>28</v>
      </c>
      <c r="D59" t="s">
        <v>55</v>
      </c>
      <c r="E59">
        <v>1</v>
      </c>
      <c r="F59" t="s">
        <v>67</v>
      </c>
      <c r="G59" t="s">
        <v>76</v>
      </c>
      <c r="H59" t="s">
        <v>79</v>
      </c>
      <c r="I59">
        <v>17112</v>
      </c>
      <c r="J59" s="2">
        <v>41003</v>
      </c>
      <c r="K59" t="s">
        <v>82</v>
      </c>
      <c r="L59" t="s">
        <v>83</v>
      </c>
      <c r="M59" s="2">
        <v>27422</v>
      </c>
      <c r="N59" t="s">
        <v>92</v>
      </c>
      <c r="O59">
        <v>9294</v>
      </c>
      <c r="P59">
        <v>3065</v>
      </c>
      <c r="Q59">
        <v>5595</v>
      </c>
      <c r="R59">
        <v>0.1</v>
      </c>
      <c r="S59" s="4">
        <v>1.1242156043522198</v>
      </c>
      <c r="T59" s="4">
        <v>8.6122431400609631</v>
      </c>
      <c r="U59">
        <v>98.319395287123243</v>
      </c>
      <c r="V59">
        <v>6</v>
      </c>
      <c r="W59">
        <v>309</v>
      </c>
      <c r="X59">
        <v>4</v>
      </c>
      <c r="Y59">
        <v>1</v>
      </c>
      <c r="Z59">
        <v>0</v>
      </c>
    </row>
    <row r="60" spans="1:26" x14ac:dyDescent="0.25">
      <c r="A60" t="s">
        <v>14</v>
      </c>
      <c r="B60">
        <v>5844</v>
      </c>
      <c r="C60" t="s">
        <v>33</v>
      </c>
      <c r="D60" t="s">
        <v>56</v>
      </c>
      <c r="E60">
        <v>3</v>
      </c>
      <c r="F60" t="s">
        <v>65</v>
      </c>
      <c r="G60" t="s">
        <v>76</v>
      </c>
      <c r="H60" t="s">
        <v>78</v>
      </c>
      <c r="I60">
        <v>13019</v>
      </c>
      <c r="J60" s="2">
        <v>41814</v>
      </c>
      <c r="K60" t="s">
        <v>81</v>
      </c>
      <c r="L60" t="s">
        <v>83</v>
      </c>
      <c r="M60" s="2">
        <v>31606</v>
      </c>
      <c r="N60" t="s">
        <v>98</v>
      </c>
      <c r="O60">
        <v>16525</v>
      </c>
      <c r="P60">
        <v>15108</v>
      </c>
      <c r="Q60">
        <v>5015</v>
      </c>
      <c r="R60">
        <v>0.38</v>
      </c>
      <c r="S60" s="4">
        <v>2.1190310521644111</v>
      </c>
      <c r="T60" s="4">
        <v>5.3950086627913194</v>
      </c>
      <c r="U60">
        <v>81.654808784007443</v>
      </c>
      <c r="V60">
        <v>2</v>
      </c>
      <c r="W60">
        <v>128</v>
      </c>
      <c r="X60">
        <v>3</v>
      </c>
      <c r="Y60">
        <v>1</v>
      </c>
      <c r="Z60">
        <v>0</v>
      </c>
    </row>
    <row r="61" spans="1:26" x14ac:dyDescent="0.25">
      <c r="A61" t="s">
        <v>13</v>
      </c>
      <c r="B61">
        <v>5858</v>
      </c>
      <c r="C61" t="s">
        <v>39</v>
      </c>
      <c r="D61" t="s">
        <v>60</v>
      </c>
      <c r="E61">
        <v>3</v>
      </c>
      <c r="F61" t="s">
        <v>64</v>
      </c>
      <c r="G61" t="s">
        <v>75</v>
      </c>
      <c r="H61" t="s">
        <v>77</v>
      </c>
      <c r="I61">
        <v>11109</v>
      </c>
      <c r="J61" s="2">
        <v>43175</v>
      </c>
      <c r="K61" t="s">
        <v>81</v>
      </c>
      <c r="L61" t="s">
        <v>83</v>
      </c>
      <c r="M61" s="2">
        <v>26383</v>
      </c>
      <c r="N61" t="s">
        <v>98</v>
      </c>
      <c r="O61">
        <v>11362</v>
      </c>
      <c r="P61">
        <v>3261</v>
      </c>
      <c r="Q61">
        <v>5379</v>
      </c>
      <c r="R61">
        <v>0.85</v>
      </c>
      <c r="S61" s="4">
        <v>1.4105990298470918</v>
      </c>
      <c r="T61" s="4">
        <v>9.6654272529448999</v>
      </c>
      <c r="U61">
        <v>82.585790083028868</v>
      </c>
      <c r="V61">
        <v>4</v>
      </c>
      <c r="W61">
        <v>225</v>
      </c>
      <c r="X61">
        <v>5</v>
      </c>
      <c r="Y61">
        <v>1</v>
      </c>
      <c r="Z61">
        <v>0</v>
      </c>
    </row>
    <row r="62" spans="1:26" x14ac:dyDescent="0.25">
      <c r="A62" t="s">
        <v>15</v>
      </c>
      <c r="B62">
        <v>7014</v>
      </c>
      <c r="C62" t="s">
        <v>40</v>
      </c>
      <c r="D62" t="s">
        <v>55</v>
      </c>
      <c r="E62">
        <v>2</v>
      </c>
      <c r="F62" t="s">
        <v>65</v>
      </c>
      <c r="G62" t="s">
        <v>76</v>
      </c>
      <c r="H62" t="s">
        <v>79</v>
      </c>
      <c r="I62">
        <v>14907</v>
      </c>
      <c r="J62" s="2">
        <v>40483</v>
      </c>
      <c r="K62" t="s">
        <v>81</v>
      </c>
      <c r="L62" t="s">
        <v>83</v>
      </c>
      <c r="M62" s="2">
        <v>28326</v>
      </c>
      <c r="N62" t="s">
        <v>98</v>
      </c>
      <c r="O62">
        <v>10537</v>
      </c>
      <c r="P62">
        <v>16921</v>
      </c>
      <c r="Q62">
        <v>5852</v>
      </c>
      <c r="R62">
        <v>0.85</v>
      </c>
      <c r="S62" s="4">
        <v>1.7009061934600211</v>
      </c>
      <c r="T62" s="4">
        <v>8.4144565457757423</v>
      </c>
      <c r="U62">
        <v>87.524633786569566</v>
      </c>
      <c r="V62">
        <v>5</v>
      </c>
      <c r="W62">
        <v>226</v>
      </c>
      <c r="X62">
        <v>5</v>
      </c>
      <c r="Y62">
        <v>1</v>
      </c>
      <c r="Z62">
        <v>0</v>
      </c>
    </row>
    <row r="63" spans="1:26" x14ac:dyDescent="0.25">
      <c r="A63" t="s">
        <v>16</v>
      </c>
      <c r="B63">
        <v>8872</v>
      </c>
      <c r="C63" t="s">
        <v>27</v>
      </c>
      <c r="D63" t="s">
        <v>54</v>
      </c>
      <c r="E63">
        <v>4</v>
      </c>
      <c r="F63" t="s">
        <v>64</v>
      </c>
      <c r="G63" t="s">
        <v>76</v>
      </c>
      <c r="H63" t="s">
        <v>79</v>
      </c>
      <c r="I63">
        <v>35936</v>
      </c>
      <c r="J63" s="2">
        <v>40681</v>
      </c>
      <c r="K63" t="s">
        <v>82</v>
      </c>
      <c r="L63" t="s">
        <v>83</v>
      </c>
      <c r="M63" s="2">
        <v>28288</v>
      </c>
      <c r="N63" t="s">
        <v>93</v>
      </c>
      <c r="O63">
        <v>12809</v>
      </c>
      <c r="P63">
        <v>8108</v>
      </c>
      <c r="Q63">
        <v>5324</v>
      </c>
      <c r="R63">
        <v>0.11</v>
      </c>
      <c r="S63" s="4">
        <v>4.6225745812734278</v>
      </c>
      <c r="T63" s="4">
        <v>5.3762333791192631</v>
      </c>
      <c r="U63">
        <v>95.890357606644713</v>
      </c>
      <c r="V63">
        <v>7</v>
      </c>
      <c r="W63">
        <v>308</v>
      </c>
      <c r="X63">
        <v>4</v>
      </c>
      <c r="Y63">
        <v>1</v>
      </c>
      <c r="Z63">
        <v>0</v>
      </c>
    </row>
    <row r="64" spans="1:26" x14ac:dyDescent="0.25">
      <c r="A64" t="s">
        <v>13</v>
      </c>
      <c r="B64">
        <v>7477</v>
      </c>
      <c r="C64" t="s">
        <v>39</v>
      </c>
      <c r="D64" t="s">
        <v>53</v>
      </c>
      <c r="E64">
        <v>6</v>
      </c>
      <c r="F64" t="s">
        <v>64</v>
      </c>
      <c r="G64" t="s">
        <v>75</v>
      </c>
      <c r="H64" t="s">
        <v>77</v>
      </c>
      <c r="I64">
        <v>10569</v>
      </c>
      <c r="J64" s="2">
        <v>43175</v>
      </c>
      <c r="K64" t="s">
        <v>81</v>
      </c>
      <c r="L64" t="s">
        <v>83</v>
      </c>
      <c r="M64" s="2">
        <v>30544</v>
      </c>
      <c r="N64" t="s">
        <v>98</v>
      </c>
      <c r="O64">
        <v>16645</v>
      </c>
      <c r="P64">
        <v>10026</v>
      </c>
      <c r="Q64">
        <v>5927</v>
      </c>
      <c r="R64">
        <v>0.1</v>
      </c>
      <c r="S64" s="4">
        <v>1.4932593620013543</v>
      </c>
      <c r="T64" s="4">
        <v>9.6704850870538728</v>
      </c>
      <c r="U64">
        <v>94.141502918653359</v>
      </c>
      <c r="V64">
        <v>6</v>
      </c>
      <c r="W64">
        <v>244</v>
      </c>
      <c r="X64">
        <v>5</v>
      </c>
      <c r="Y64">
        <v>1</v>
      </c>
      <c r="Z64">
        <v>0</v>
      </c>
    </row>
    <row r="65" spans="1:26" x14ac:dyDescent="0.25">
      <c r="A65" t="s">
        <v>15</v>
      </c>
      <c r="B65">
        <v>6689</v>
      </c>
      <c r="C65" t="s">
        <v>25</v>
      </c>
      <c r="D65" t="s">
        <v>56</v>
      </c>
      <c r="E65">
        <v>2</v>
      </c>
      <c r="F65" t="s">
        <v>65</v>
      </c>
      <c r="G65" t="s">
        <v>76</v>
      </c>
      <c r="H65" t="s">
        <v>78</v>
      </c>
      <c r="I65">
        <v>7634</v>
      </c>
      <c r="J65" s="2">
        <v>40483</v>
      </c>
      <c r="K65" t="s">
        <v>81</v>
      </c>
      <c r="L65" t="s">
        <v>83</v>
      </c>
      <c r="M65" s="2">
        <v>24786</v>
      </c>
      <c r="N65" t="s">
        <v>93</v>
      </c>
      <c r="O65">
        <v>7870</v>
      </c>
      <c r="P65">
        <v>11789</v>
      </c>
      <c r="Q65">
        <v>5766</v>
      </c>
      <c r="R65">
        <v>0.36</v>
      </c>
      <c r="S65" s="4">
        <v>3.1508213841743626</v>
      </c>
      <c r="T65" s="4">
        <v>6.8884955977398628</v>
      </c>
      <c r="U65">
        <v>97.377015175972886</v>
      </c>
      <c r="V65">
        <v>2</v>
      </c>
      <c r="W65">
        <v>132</v>
      </c>
      <c r="X65">
        <v>3</v>
      </c>
      <c r="Y65">
        <v>1</v>
      </c>
      <c r="Z65">
        <v>0</v>
      </c>
    </row>
    <row r="66" spans="1:26" x14ac:dyDescent="0.25">
      <c r="A66" t="s">
        <v>16</v>
      </c>
      <c r="B66">
        <v>3451</v>
      </c>
      <c r="C66" t="s">
        <v>24</v>
      </c>
      <c r="D66" t="s">
        <v>52</v>
      </c>
      <c r="E66">
        <v>8</v>
      </c>
      <c r="F66" t="s">
        <v>64</v>
      </c>
      <c r="G66" t="s">
        <v>76</v>
      </c>
      <c r="H66" t="s">
        <v>79</v>
      </c>
      <c r="I66">
        <v>24515</v>
      </c>
      <c r="J66" s="2">
        <v>40681</v>
      </c>
      <c r="K66" t="s">
        <v>82</v>
      </c>
      <c r="L66" t="s">
        <v>83</v>
      </c>
      <c r="M66" s="2">
        <v>28776</v>
      </c>
      <c r="N66" t="s">
        <v>98</v>
      </c>
      <c r="O66">
        <v>13489</v>
      </c>
      <c r="P66">
        <v>3665</v>
      </c>
      <c r="Q66">
        <v>5484</v>
      </c>
      <c r="R66">
        <v>0.11</v>
      </c>
      <c r="S66" s="4">
        <v>4.6081214164946394</v>
      </c>
      <c r="T66" s="4">
        <v>6.3187411142985557</v>
      </c>
      <c r="U66">
        <v>98.708288395927937</v>
      </c>
      <c r="V66">
        <v>6</v>
      </c>
      <c r="W66">
        <v>286</v>
      </c>
      <c r="X66">
        <v>4</v>
      </c>
      <c r="Y66">
        <v>1</v>
      </c>
      <c r="Z66">
        <v>0</v>
      </c>
    </row>
    <row r="67" spans="1:26" x14ac:dyDescent="0.25">
      <c r="A67" t="s">
        <v>17</v>
      </c>
      <c r="B67">
        <v>7135</v>
      </c>
      <c r="C67" t="s">
        <v>31</v>
      </c>
      <c r="D67" t="s">
        <v>55</v>
      </c>
      <c r="E67">
        <v>1</v>
      </c>
      <c r="F67" t="s">
        <v>68</v>
      </c>
      <c r="G67" t="s">
        <v>76</v>
      </c>
      <c r="H67" t="s">
        <v>79</v>
      </c>
      <c r="I67">
        <v>17112</v>
      </c>
      <c r="J67" s="2">
        <v>41003</v>
      </c>
      <c r="K67" t="s">
        <v>82</v>
      </c>
      <c r="L67" t="s">
        <v>83</v>
      </c>
      <c r="M67" s="2">
        <v>29298</v>
      </c>
      <c r="N67" t="s">
        <v>89</v>
      </c>
      <c r="O67">
        <v>13665</v>
      </c>
      <c r="P67">
        <v>8871</v>
      </c>
      <c r="Q67">
        <v>5998</v>
      </c>
      <c r="R67">
        <v>0.81</v>
      </c>
      <c r="S67" s="4">
        <v>3.3927855276837025</v>
      </c>
      <c r="T67" s="4">
        <v>8.1811927385040146</v>
      </c>
      <c r="U67">
        <v>98.887177229684909</v>
      </c>
      <c r="V67">
        <v>6</v>
      </c>
      <c r="W67">
        <v>161</v>
      </c>
      <c r="X67">
        <v>4</v>
      </c>
      <c r="Y67">
        <v>1</v>
      </c>
      <c r="Z67">
        <v>0</v>
      </c>
    </row>
    <row r="68" spans="1:26" x14ac:dyDescent="0.25">
      <c r="A68" t="s">
        <v>14</v>
      </c>
      <c r="B68">
        <v>3150</v>
      </c>
      <c r="C68" t="s">
        <v>33</v>
      </c>
      <c r="D68" t="s">
        <v>56</v>
      </c>
      <c r="E68">
        <v>3</v>
      </c>
      <c r="F68" t="s">
        <v>65</v>
      </c>
      <c r="G68" t="s">
        <v>76</v>
      </c>
      <c r="H68" t="s">
        <v>78</v>
      </c>
      <c r="I68">
        <v>13019</v>
      </c>
      <c r="J68" s="2">
        <v>41814</v>
      </c>
      <c r="K68" t="s">
        <v>81</v>
      </c>
      <c r="L68" t="s">
        <v>83</v>
      </c>
      <c r="M68" s="2">
        <v>25164</v>
      </c>
      <c r="N68" t="s">
        <v>87</v>
      </c>
      <c r="O68">
        <v>18390</v>
      </c>
      <c r="P68">
        <v>14396</v>
      </c>
      <c r="Q68">
        <v>5065</v>
      </c>
      <c r="R68">
        <v>0.43</v>
      </c>
      <c r="S68" s="4">
        <v>3.5876881772267679</v>
      </c>
      <c r="T68" s="4">
        <v>8.0743917826798697</v>
      </c>
      <c r="U68">
        <v>88.651099672472611</v>
      </c>
      <c r="V68">
        <v>2</v>
      </c>
      <c r="W68">
        <v>153</v>
      </c>
      <c r="X68">
        <v>3</v>
      </c>
      <c r="Y68">
        <v>1</v>
      </c>
      <c r="Z68">
        <v>0</v>
      </c>
    </row>
    <row r="69" spans="1:26" x14ac:dyDescent="0.25">
      <c r="A69" t="s">
        <v>13</v>
      </c>
      <c r="B69">
        <v>1808</v>
      </c>
      <c r="C69" t="s">
        <v>39</v>
      </c>
      <c r="D69" t="s">
        <v>53</v>
      </c>
      <c r="E69">
        <v>6</v>
      </c>
      <c r="F69" t="s">
        <v>64</v>
      </c>
      <c r="G69" t="s">
        <v>75</v>
      </c>
      <c r="H69" t="s">
        <v>77</v>
      </c>
      <c r="I69">
        <v>10569</v>
      </c>
      <c r="J69" s="2">
        <v>43175</v>
      </c>
      <c r="K69" t="s">
        <v>81</v>
      </c>
      <c r="L69" t="s">
        <v>83</v>
      </c>
      <c r="M69" s="2">
        <v>27040</v>
      </c>
      <c r="N69" t="s">
        <v>99</v>
      </c>
      <c r="O69">
        <v>10422</v>
      </c>
      <c r="P69">
        <v>13258</v>
      </c>
      <c r="Q69">
        <v>5263</v>
      </c>
      <c r="R69">
        <v>0.9</v>
      </c>
      <c r="S69" s="4">
        <v>3.3792594911475184</v>
      </c>
      <c r="T69" s="4">
        <v>9.128059215141878</v>
      </c>
      <c r="U69">
        <v>95.720198226421857</v>
      </c>
      <c r="V69">
        <v>4</v>
      </c>
      <c r="W69">
        <v>264</v>
      </c>
      <c r="X69">
        <v>6</v>
      </c>
      <c r="Y69">
        <v>1</v>
      </c>
      <c r="Z69">
        <v>0</v>
      </c>
    </row>
    <row r="70" spans="1:26" x14ac:dyDescent="0.25">
      <c r="A70" t="s">
        <v>15</v>
      </c>
      <c r="B70">
        <v>8210</v>
      </c>
      <c r="C70" t="s">
        <v>25</v>
      </c>
      <c r="D70" t="s">
        <v>56</v>
      </c>
      <c r="E70">
        <v>2</v>
      </c>
      <c r="F70" t="s">
        <v>65</v>
      </c>
      <c r="G70" t="s">
        <v>76</v>
      </c>
      <c r="H70" t="s">
        <v>78</v>
      </c>
      <c r="I70">
        <v>7634</v>
      </c>
      <c r="J70" s="2">
        <v>40483</v>
      </c>
      <c r="K70" t="s">
        <v>81</v>
      </c>
      <c r="L70" t="s">
        <v>83</v>
      </c>
      <c r="M70" s="2">
        <v>26160</v>
      </c>
      <c r="N70" t="s">
        <v>93</v>
      </c>
      <c r="O70">
        <v>16152</v>
      </c>
      <c r="P70">
        <v>13130</v>
      </c>
      <c r="Q70">
        <v>5369</v>
      </c>
      <c r="R70">
        <v>0.76</v>
      </c>
      <c r="S70" s="4">
        <v>1.7374074855331365</v>
      </c>
      <c r="T70" s="4">
        <v>7.3239259306422602</v>
      </c>
      <c r="U70">
        <v>86.01588998910006</v>
      </c>
      <c r="V70">
        <v>5</v>
      </c>
      <c r="W70">
        <v>223</v>
      </c>
      <c r="X70">
        <v>5</v>
      </c>
      <c r="Y70">
        <v>1</v>
      </c>
      <c r="Z70">
        <v>0</v>
      </c>
    </row>
    <row r="71" spans="1:26" x14ac:dyDescent="0.25">
      <c r="A71" t="s">
        <v>16</v>
      </c>
      <c r="B71">
        <v>5318</v>
      </c>
      <c r="C71" t="s">
        <v>26</v>
      </c>
      <c r="D71" t="s">
        <v>55</v>
      </c>
      <c r="E71">
        <v>4</v>
      </c>
      <c r="F71" t="s">
        <v>64</v>
      </c>
      <c r="G71" t="s">
        <v>76</v>
      </c>
      <c r="H71" t="s">
        <v>79</v>
      </c>
      <c r="I71">
        <v>29493</v>
      </c>
      <c r="J71" s="2">
        <v>40681</v>
      </c>
      <c r="K71" t="s">
        <v>82</v>
      </c>
      <c r="L71" t="s">
        <v>84</v>
      </c>
      <c r="M71" s="2">
        <v>31504</v>
      </c>
      <c r="N71" t="s">
        <v>91</v>
      </c>
      <c r="O71">
        <v>6869</v>
      </c>
      <c r="P71">
        <v>3062</v>
      </c>
      <c r="Q71">
        <v>5577</v>
      </c>
      <c r="R71">
        <v>0.43</v>
      </c>
      <c r="S71" s="4">
        <v>3.5364891427096961</v>
      </c>
      <c r="T71" s="4">
        <v>6.1458482351382759</v>
      </c>
      <c r="U71">
        <v>87.066365354246003</v>
      </c>
      <c r="V71">
        <v>2</v>
      </c>
      <c r="W71">
        <v>135</v>
      </c>
      <c r="X71">
        <v>3</v>
      </c>
      <c r="Y71">
        <v>1</v>
      </c>
      <c r="Z71">
        <v>0</v>
      </c>
    </row>
    <row r="72" spans="1:26" x14ac:dyDescent="0.25">
      <c r="A72" t="s">
        <v>17</v>
      </c>
      <c r="B72">
        <v>4077</v>
      </c>
      <c r="C72" t="s">
        <v>28</v>
      </c>
      <c r="D72" t="s">
        <v>55</v>
      </c>
      <c r="E72">
        <v>1</v>
      </c>
      <c r="F72" t="s">
        <v>67</v>
      </c>
      <c r="G72" t="s">
        <v>76</v>
      </c>
      <c r="H72" t="s">
        <v>79</v>
      </c>
      <c r="I72">
        <v>17112</v>
      </c>
      <c r="J72" s="2">
        <v>41003</v>
      </c>
      <c r="K72" t="s">
        <v>82</v>
      </c>
      <c r="L72" t="s">
        <v>83</v>
      </c>
      <c r="M72" s="2">
        <v>27422</v>
      </c>
      <c r="N72" t="s">
        <v>85</v>
      </c>
      <c r="O72">
        <v>11293</v>
      </c>
      <c r="P72">
        <v>16693</v>
      </c>
      <c r="Q72">
        <v>5444</v>
      </c>
      <c r="R72">
        <v>0.74</v>
      </c>
      <c r="S72" s="4">
        <v>2.1938945452962897</v>
      </c>
      <c r="T72" s="4">
        <v>8.571860468001443</v>
      </c>
      <c r="U72">
        <v>88.566688244805704</v>
      </c>
      <c r="V72">
        <v>2</v>
      </c>
      <c r="W72">
        <v>277</v>
      </c>
      <c r="X72">
        <v>3</v>
      </c>
      <c r="Y72">
        <v>1</v>
      </c>
      <c r="Z72">
        <v>0</v>
      </c>
    </row>
    <row r="73" spans="1:26" x14ac:dyDescent="0.25">
      <c r="A73" t="s">
        <v>15</v>
      </c>
      <c r="B73">
        <v>2012</v>
      </c>
      <c r="C73" t="s">
        <v>25</v>
      </c>
      <c r="D73" t="s">
        <v>56</v>
      </c>
      <c r="E73">
        <v>2</v>
      </c>
      <c r="F73" t="s">
        <v>65</v>
      </c>
      <c r="G73" t="s">
        <v>76</v>
      </c>
      <c r="H73" t="s">
        <v>78</v>
      </c>
      <c r="I73">
        <v>7634</v>
      </c>
      <c r="J73" s="2">
        <v>40483</v>
      </c>
      <c r="K73" t="s">
        <v>81</v>
      </c>
      <c r="L73" t="s">
        <v>83</v>
      </c>
      <c r="M73" s="2">
        <v>25950</v>
      </c>
      <c r="N73" t="s">
        <v>89</v>
      </c>
      <c r="O73">
        <v>5249</v>
      </c>
      <c r="P73">
        <v>3672</v>
      </c>
      <c r="Q73">
        <v>5804</v>
      </c>
      <c r="R73">
        <v>0.09</v>
      </c>
      <c r="S73" s="4">
        <v>1.2407948370089299</v>
      </c>
      <c r="T73" s="4">
        <v>6.4062409745065949</v>
      </c>
      <c r="U73">
        <v>83.793898747722167</v>
      </c>
      <c r="V73">
        <v>5</v>
      </c>
      <c r="W73">
        <v>275</v>
      </c>
      <c r="X73">
        <v>4</v>
      </c>
      <c r="Y73">
        <v>1</v>
      </c>
      <c r="Z73">
        <v>0</v>
      </c>
    </row>
    <row r="74" spans="1:26" x14ac:dyDescent="0.25">
      <c r="A74" t="s">
        <v>16</v>
      </c>
      <c r="B74">
        <v>9964</v>
      </c>
      <c r="C74" t="s">
        <v>24</v>
      </c>
      <c r="D74" t="s">
        <v>54</v>
      </c>
      <c r="E74">
        <v>1</v>
      </c>
      <c r="F74" t="s">
        <v>64</v>
      </c>
      <c r="G74" t="s">
        <v>76</v>
      </c>
      <c r="H74" t="s">
        <v>79</v>
      </c>
      <c r="I74">
        <v>24515</v>
      </c>
      <c r="J74" s="2">
        <v>40681</v>
      </c>
      <c r="K74" t="s">
        <v>82</v>
      </c>
      <c r="L74" t="s">
        <v>83</v>
      </c>
      <c r="M74" s="2">
        <v>28776</v>
      </c>
      <c r="N74" t="s">
        <v>98</v>
      </c>
      <c r="O74">
        <v>5452</v>
      </c>
      <c r="P74">
        <v>4621</v>
      </c>
      <c r="Q74">
        <v>5292</v>
      </c>
      <c r="R74">
        <v>0.45</v>
      </c>
      <c r="S74" s="4">
        <v>2.2944140338475991</v>
      </c>
      <c r="T74" s="4">
        <v>7.9668541081220674</v>
      </c>
      <c r="U74">
        <v>95.91929445665204</v>
      </c>
      <c r="V74">
        <v>2</v>
      </c>
      <c r="W74">
        <v>149</v>
      </c>
      <c r="X74">
        <v>3</v>
      </c>
      <c r="Y74">
        <v>1</v>
      </c>
      <c r="Z74">
        <v>0</v>
      </c>
    </row>
    <row r="75" spans="1:26" x14ac:dyDescent="0.25">
      <c r="A75" t="s">
        <v>15</v>
      </c>
      <c r="B75">
        <v>6121</v>
      </c>
      <c r="C75" t="s">
        <v>25</v>
      </c>
      <c r="D75" t="s">
        <v>56</v>
      </c>
      <c r="E75">
        <v>2</v>
      </c>
      <c r="F75" t="s">
        <v>65</v>
      </c>
      <c r="G75" t="s">
        <v>76</v>
      </c>
      <c r="H75" t="s">
        <v>78</v>
      </c>
      <c r="I75">
        <v>7634</v>
      </c>
      <c r="J75" s="2">
        <v>40483</v>
      </c>
      <c r="K75" t="s">
        <v>81</v>
      </c>
      <c r="L75" t="s">
        <v>83</v>
      </c>
      <c r="M75" s="2">
        <v>29891</v>
      </c>
      <c r="N75" t="s">
        <v>96</v>
      </c>
      <c r="O75">
        <v>16129</v>
      </c>
      <c r="P75">
        <v>11681</v>
      </c>
      <c r="Q75">
        <v>5215</v>
      </c>
      <c r="R75">
        <v>0.09</v>
      </c>
      <c r="S75" s="4">
        <v>4.4476746934608435</v>
      </c>
      <c r="T75" s="4">
        <v>7.3170871347253046</v>
      </c>
      <c r="U75">
        <v>85.096632517224165</v>
      </c>
      <c r="V75">
        <v>7</v>
      </c>
      <c r="W75">
        <v>295</v>
      </c>
      <c r="X75">
        <v>4</v>
      </c>
      <c r="Y75">
        <v>1</v>
      </c>
      <c r="Z75">
        <v>0</v>
      </c>
    </row>
    <row r="76" spans="1:26" x14ac:dyDescent="0.25">
      <c r="A76" t="s">
        <v>16</v>
      </c>
      <c r="B76">
        <v>1679</v>
      </c>
      <c r="C76" t="s">
        <v>41</v>
      </c>
      <c r="D76" t="s">
        <v>61</v>
      </c>
      <c r="F76" t="s">
        <v>66</v>
      </c>
      <c r="G76" t="s">
        <v>76</v>
      </c>
      <c r="H76" t="s">
        <v>80</v>
      </c>
      <c r="I76">
        <v>28000</v>
      </c>
      <c r="J76" s="2">
        <v>40689</v>
      </c>
      <c r="K76" t="s">
        <v>82</v>
      </c>
      <c r="L76" t="s">
        <v>83</v>
      </c>
      <c r="M76" s="2">
        <v>29645</v>
      </c>
      <c r="N76" t="s">
        <v>100</v>
      </c>
      <c r="O76">
        <v>8114</v>
      </c>
      <c r="P76">
        <v>7625</v>
      </c>
      <c r="Q76">
        <v>5075</v>
      </c>
      <c r="R76">
        <v>0.11</v>
      </c>
      <c r="S76" s="4">
        <v>3.5997695206438189</v>
      </c>
      <c r="T76" s="4">
        <v>6.1654278023415072</v>
      </c>
      <c r="U76">
        <v>94.16362856332259</v>
      </c>
      <c r="V76">
        <v>6</v>
      </c>
      <c r="W76">
        <v>277</v>
      </c>
      <c r="X76">
        <v>4</v>
      </c>
      <c r="Y76">
        <v>1</v>
      </c>
      <c r="Z76">
        <v>0</v>
      </c>
    </row>
    <row r="77" spans="1:26" x14ac:dyDescent="0.25">
      <c r="A77" t="s">
        <v>17</v>
      </c>
      <c r="B77">
        <v>2482</v>
      </c>
      <c r="C77" t="s">
        <v>31</v>
      </c>
      <c r="D77" t="s">
        <v>55</v>
      </c>
      <c r="E77">
        <v>1</v>
      </c>
      <c r="F77" t="s">
        <v>68</v>
      </c>
      <c r="G77" t="s">
        <v>76</v>
      </c>
      <c r="H77" t="s">
        <v>79</v>
      </c>
      <c r="I77">
        <v>17112</v>
      </c>
      <c r="J77" s="2">
        <v>41003</v>
      </c>
      <c r="K77" t="s">
        <v>82</v>
      </c>
      <c r="L77" t="s">
        <v>83</v>
      </c>
      <c r="M77" s="2">
        <v>29298</v>
      </c>
      <c r="N77" t="s">
        <v>87</v>
      </c>
      <c r="O77">
        <v>13506</v>
      </c>
      <c r="P77">
        <v>12151</v>
      </c>
      <c r="Q77">
        <v>5071</v>
      </c>
      <c r="R77">
        <v>0.11</v>
      </c>
      <c r="S77" s="4">
        <v>2.8859135716467317</v>
      </c>
      <c r="T77" s="4">
        <v>8.7373921068708604</v>
      </c>
      <c r="U77">
        <v>94.35203632180145</v>
      </c>
      <c r="V77">
        <v>7</v>
      </c>
      <c r="W77">
        <v>306</v>
      </c>
      <c r="X77">
        <v>4</v>
      </c>
      <c r="Y77">
        <v>1</v>
      </c>
      <c r="Z77">
        <v>0</v>
      </c>
    </row>
    <row r="78" spans="1:26" x14ac:dyDescent="0.25">
      <c r="A78" t="s">
        <v>14</v>
      </c>
      <c r="B78">
        <v>5474</v>
      </c>
      <c r="C78" t="s">
        <v>33</v>
      </c>
      <c r="D78" t="s">
        <v>56</v>
      </c>
      <c r="E78">
        <v>3</v>
      </c>
      <c r="F78" t="s">
        <v>65</v>
      </c>
      <c r="G78" t="s">
        <v>76</v>
      </c>
      <c r="H78" t="s">
        <v>78</v>
      </c>
      <c r="I78">
        <v>13019</v>
      </c>
      <c r="J78" s="2">
        <v>41814</v>
      </c>
      <c r="K78" t="s">
        <v>81</v>
      </c>
      <c r="L78" t="s">
        <v>83</v>
      </c>
      <c r="M78" s="2">
        <v>29732</v>
      </c>
      <c r="N78" t="s">
        <v>99</v>
      </c>
      <c r="O78">
        <v>15615</v>
      </c>
      <c r="P78">
        <v>12755</v>
      </c>
      <c r="Q78">
        <v>5993</v>
      </c>
      <c r="R78">
        <v>0.1</v>
      </c>
      <c r="S78" s="4">
        <v>1.212087323368594</v>
      </c>
      <c r="T78" s="4">
        <v>5.088007170116744</v>
      </c>
      <c r="U78">
        <v>87.103402572778393</v>
      </c>
      <c r="V78">
        <v>6</v>
      </c>
      <c r="W78">
        <v>295</v>
      </c>
      <c r="X78">
        <v>4</v>
      </c>
      <c r="Y78">
        <v>1</v>
      </c>
      <c r="Z78">
        <v>0</v>
      </c>
    </row>
    <row r="79" spans="1:26" x14ac:dyDescent="0.25">
      <c r="A79" t="s">
        <v>13</v>
      </c>
      <c r="B79">
        <v>8860</v>
      </c>
      <c r="C79" t="s">
        <v>42</v>
      </c>
      <c r="D79" t="s">
        <v>59</v>
      </c>
      <c r="E79">
        <v>4</v>
      </c>
      <c r="F79" t="s">
        <v>64</v>
      </c>
      <c r="G79" t="s">
        <v>75</v>
      </c>
      <c r="H79" t="s">
        <v>77</v>
      </c>
      <c r="I79">
        <v>11958</v>
      </c>
      <c r="J79" s="2">
        <v>43175</v>
      </c>
      <c r="K79" t="s">
        <v>81</v>
      </c>
      <c r="L79" t="s">
        <v>83</v>
      </c>
      <c r="M79" s="2">
        <v>29135</v>
      </c>
      <c r="N79" t="s">
        <v>97</v>
      </c>
      <c r="O79">
        <v>11930</v>
      </c>
      <c r="P79">
        <v>6566</v>
      </c>
      <c r="Q79">
        <v>5839</v>
      </c>
      <c r="R79">
        <v>0.4</v>
      </c>
      <c r="S79" s="4">
        <v>1.4813495397185434</v>
      </c>
      <c r="T79" s="4">
        <v>8.8189265462962609</v>
      </c>
      <c r="U79">
        <v>96.294109355824531</v>
      </c>
      <c r="V79">
        <v>2</v>
      </c>
      <c r="W79">
        <v>137</v>
      </c>
      <c r="X79">
        <v>3</v>
      </c>
      <c r="Y79">
        <v>1</v>
      </c>
      <c r="Z79">
        <v>0</v>
      </c>
    </row>
    <row r="80" spans="1:26" x14ac:dyDescent="0.25">
      <c r="A80" t="s">
        <v>15</v>
      </c>
      <c r="B80">
        <v>4425</v>
      </c>
      <c r="C80" t="s">
        <v>25</v>
      </c>
      <c r="D80" t="s">
        <v>56</v>
      </c>
      <c r="E80">
        <v>2</v>
      </c>
      <c r="F80" t="s">
        <v>65</v>
      </c>
      <c r="G80" t="s">
        <v>76</v>
      </c>
      <c r="H80" t="s">
        <v>78</v>
      </c>
      <c r="I80">
        <v>7634</v>
      </c>
      <c r="J80" s="2">
        <v>40483</v>
      </c>
      <c r="K80" t="s">
        <v>81</v>
      </c>
      <c r="L80" t="s">
        <v>83</v>
      </c>
      <c r="M80" s="2">
        <v>23621</v>
      </c>
      <c r="N80" t="s">
        <v>87</v>
      </c>
      <c r="O80">
        <v>16785</v>
      </c>
      <c r="P80">
        <v>6252</v>
      </c>
      <c r="Q80">
        <v>5576</v>
      </c>
      <c r="R80">
        <v>0.43</v>
      </c>
      <c r="S80" s="4">
        <v>1.4115296846683427</v>
      </c>
      <c r="T80" s="4">
        <v>9.5300965477496877</v>
      </c>
      <c r="U80">
        <v>98.769699284580071</v>
      </c>
      <c r="V80">
        <v>2</v>
      </c>
      <c r="W80">
        <v>157</v>
      </c>
      <c r="X80">
        <v>3</v>
      </c>
      <c r="Y80">
        <v>1</v>
      </c>
      <c r="Z80">
        <v>0</v>
      </c>
    </row>
    <row r="81" spans="1:26" x14ac:dyDescent="0.25">
      <c r="A81" t="s">
        <v>16</v>
      </c>
      <c r="B81">
        <v>1012</v>
      </c>
      <c r="C81" t="s">
        <v>41</v>
      </c>
      <c r="D81" t="s">
        <v>61</v>
      </c>
      <c r="F81" t="s">
        <v>66</v>
      </c>
      <c r="G81" t="s">
        <v>76</v>
      </c>
      <c r="H81" t="s">
        <v>80</v>
      </c>
      <c r="I81">
        <v>28000</v>
      </c>
      <c r="J81" s="2">
        <v>40689</v>
      </c>
      <c r="K81" t="s">
        <v>82</v>
      </c>
      <c r="L81" t="s">
        <v>83</v>
      </c>
      <c r="M81" s="2">
        <v>29645</v>
      </c>
      <c r="N81" t="s">
        <v>90</v>
      </c>
      <c r="O81">
        <v>17505</v>
      </c>
      <c r="P81">
        <v>14377</v>
      </c>
      <c r="Q81">
        <v>5409</v>
      </c>
      <c r="R81">
        <v>0.39</v>
      </c>
      <c r="S81" s="4">
        <v>2.7769924070537524</v>
      </c>
      <c r="T81" s="4">
        <v>9.4424485401391713</v>
      </c>
      <c r="U81">
        <v>85.418639356661899</v>
      </c>
      <c r="V81">
        <v>2</v>
      </c>
      <c r="W81">
        <v>142</v>
      </c>
      <c r="X81">
        <v>3</v>
      </c>
      <c r="Y81">
        <v>1</v>
      </c>
      <c r="Z81">
        <v>0</v>
      </c>
    </row>
    <row r="82" spans="1:26" x14ac:dyDescent="0.25">
      <c r="A82" t="s">
        <v>17</v>
      </c>
      <c r="B82">
        <v>8180</v>
      </c>
      <c r="C82" t="s">
        <v>28</v>
      </c>
      <c r="D82" t="s">
        <v>55</v>
      </c>
      <c r="E82">
        <v>2</v>
      </c>
      <c r="F82" t="s">
        <v>67</v>
      </c>
      <c r="G82" t="s">
        <v>76</v>
      </c>
      <c r="H82" t="s">
        <v>79</v>
      </c>
      <c r="I82">
        <v>17112</v>
      </c>
      <c r="J82" s="2">
        <v>41003</v>
      </c>
      <c r="K82" t="s">
        <v>82</v>
      </c>
      <c r="L82" t="s">
        <v>83</v>
      </c>
      <c r="M82" s="2">
        <v>27422</v>
      </c>
      <c r="N82" t="s">
        <v>96</v>
      </c>
      <c r="O82">
        <v>15436</v>
      </c>
      <c r="P82">
        <v>10073</v>
      </c>
      <c r="Q82">
        <v>5180</v>
      </c>
      <c r="R82">
        <v>0.45</v>
      </c>
      <c r="S82" s="4">
        <v>4.4931712842007681</v>
      </c>
      <c r="T82" s="4">
        <v>6.6161965514264871</v>
      </c>
      <c r="U82">
        <v>95.897541865041291</v>
      </c>
      <c r="V82">
        <v>2</v>
      </c>
      <c r="W82">
        <v>140</v>
      </c>
      <c r="X82">
        <v>3</v>
      </c>
      <c r="Y82">
        <v>1</v>
      </c>
      <c r="Z82">
        <v>0</v>
      </c>
    </row>
    <row r="83" spans="1:26" x14ac:dyDescent="0.25">
      <c r="A83" t="s">
        <v>14</v>
      </c>
      <c r="B83">
        <v>2100</v>
      </c>
      <c r="C83" t="s">
        <v>43</v>
      </c>
      <c r="D83" t="s">
        <v>56</v>
      </c>
      <c r="E83">
        <v>3</v>
      </c>
      <c r="F83" t="s">
        <v>65</v>
      </c>
      <c r="G83" t="s">
        <v>76</v>
      </c>
      <c r="H83" t="s">
        <v>78</v>
      </c>
      <c r="I83">
        <v>13019</v>
      </c>
      <c r="J83" s="2">
        <v>41814</v>
      </c>
      <c r="K83" t="s">
        <v>81</v>
      </c>
      <c r="L83" t="s">
        <v>83</v>
      </c>
      <c r="M83" s="2">
        <v>30608</v>
      </c>
      <c r="N83" t="s">
        <v>91</v>
      </c>
      <c r="O83">
        <v>12852</v>
      </c>
      <c r="P83">
        <v>9181</v>
      </c>
      <c r="Q83">
        <v>5190</v>
      </c>
      <c r="R83">
        <v>0.38</v>
      </c>
      <c r="S83" s="4">
        <v>4.4560649963593564</v>
      </c>
      <c r="T83" s="4">
        <v>9.7949732101482425</v>
      </c>
      <c r="U83">
        <v>88.506197387991918</v>
      </c>
      <c r="V83">
        <v>2</v>
      </c>
      <c r="W83">
        <v>151</v>
      </c>
      <c r="X83">
        <v>3</v>
      </c>
      <c r="Y83">
        <v>1</v>
      </c>
      <c r="Z83">
        <v>0</v>
      </c>
    </row>
    <row r="84" spans="1:26" x14ac:dyDescent="0.25">
      <c r="A84" t="s">
        <v>13</v>
      </c>
      <c r="B84">
        <v>3798</v>
      </c>
      <c r="C84" t="s">
        <v>44</v>
      </c>
      <c r="D84" t="s">
        <v>55</v>
      </c>
      <c r="E84">
        <v>6</v>
      </c>
      <c r="F84" t="s">
        <v>66</v>
      </c>
      <c r="G84" t="s">
        <v>75</v>
      </c>
      <c r="H84" t="s">
        <v>77</v>
      </c>
      <c r="I84">
        <v>27811</v>
      </c>
      <c r="J84" s="2">
        <v>43175</v>
      </c>
      <c r="K84" t="s">
        <v>81</v>
      </c>
      <c r="L84" t="s">
        <v>83</v>
      </c>
      <c r="M84" s="2">
        <v>31558</v>
      </c>
      <c r="N84" t="s">
        <v>94</v>
      </c>
      <c r="O84">
        <v>12722</v>
      </c>
      <c r="P84">
        <v>14286</v>
      </c>
      <c r="Q84">
        <v>5167</v>
      </c>
      <c r="R84">
        <v>0.79</v>
      </c>
      <c r="S84" s="4">
        <v>3.4778198470774133</v>
      </c>
      <c r="T84" s="4">
        <v>8.9934349662959914</v>
      </c>
      <c r="U84">
        <v>84.709468606367636</v>
      </c>
      <c r="V84">
        <v>4</v>
      </c>
      <c r="W84">
        <v>139</v>
      </c>
      <c r="X84">
        <v>3</v>
      </c>
      <c r="Y84">
        <v>1</v>
      </c>
      <c r="Z84">
        <v>1</v>
      </c>
    </row>
    <row r="85" spans="1:26" x14ac:dyDescent="0.25">
      <c r="A85" t="s">
        <v>15</v>
      </c>
      <c r="B85">
        <v>2542</v>
      </c>
      <c r="C85" t="s">
        <v>25</v>
      </c>
      <c r="D85" t="s">
        <v>56</v>
      </c>
      <c r="E85">
        <v>2</v>
      </c>
      <c r="F85" t="s">
        <v>65</v>
      </c>
      <c r="G85" t="s">
        <v>76</v>
      </c>
      <c r="H85" t="s">
        <v>78</v>
      </c>
      <c r="I85">
        <v>7634</v>
      </c>
      <c r="J85" s="2">
        <v>40483</v>
      </c>
      <c r="K85" t="s">
        <v>81</v>
      </c>
      <c r="L85" t="s">
        <v>83</v>
      </c>
      <c r="M85" s="2">
        <v>29580</v>
      </c>
      <c r="N85" t="s">
        <v>93</v>
      </c>
      <c r="O85">
        <v>18325</v>
      </c>
      <c r="P85">
        <v>9101</v>
      </c>
      <c r="Q85">
        <v>5666</v>
      </c>
      <c r="R85">
        <v>0.84</v>
      </c>
      <c r="S85" s="4">
        <v>1.3333494874809326</v>
      </c>
      <c r="T85" s="4">
        <v>5.0909486827296044</v>
      </c>
      <c r="U85">
        <v>90.731413469614424</v>
      </c>
      <c r="V85">
        <v>4</v>
      </c>
      <c r="W85">
        <v>249</v>
      </c>
      <c r="X85">
        <v>6</v>
      </c>
      <c r="Y85">
        <v>1</v>
      </c>
      <c r="Z85">
        <v>0</v>
      </c>
    </row>
    <row r="86" spans="1:26" x14ac:dyDescent="0.25">
      <c r="A86" t="s">
        <v>16</v>
      </c>
      <c r="B86">
        <v>2051</v>
      </c>
      <c r="C86" t="s">
        <v>41</v>
      </c>
      <c r="D86" t="s">
        <v>61</v>
      </c>
      <c r="F86" t="s">
        <v>66</v>
      </c>
      <c r="G86" t="s">
        <v>76</v>
      </c>
      <c r="H86" t="s">
        <v>80</v>
      </c>
      <c r="I86">
        <v>28000</v>
      </c>
      <c r="J86" s="2">
        <v>40689</v>
      </c>
      <c r="K86" t="s">
        <v>82</v>
      </c>
      <c r="L86" t="s">
        <v>83</v>
      </c>
      <c r="M86" s="2">
        <v>29645</v>
      </c>
      <c r="N86" t="s">
        <v>96</v>
      </c>
      <c r="O86">
        <v>18112</v>
      </c>
      <c r="P86">
        <v>7998</v>
      </c>
      <c r="Q86">
        <v>5082</v>
      </c>
      <c r="R86">
        <v>0.11</v>
      </c>
      <c r="S86" s="4">
        <v>3.7208755307766062</v>
      </c>
      <c r="T86" s="4">
        <v>6.4320002013350885</v>
      </c>
      <c r="U86">
        <v>89.273837468607582</v>
      </c>
      <c r="V86">
        <v>6</v>
      </c>
      <c r="W86">
        <v>291</v>
      </c>
      <c r="X86">
        <v>4</v>
      </c>
      <c r="Y86">
        <v>1</v>
      </c>
      <c r="Z86">
        <v>0</v>
      </c>
    </row>
    <row r="87" spans="1:26" x14ac:dyDescent="0.25">
      <c r="A87" t="s">
        <v>15</v>
      </c>
      <c r="B87">
        <v>1369</v>
      </c>
      <c r="C87" t="s">
        <v>25</v>
      </c>
      <c r="D87" t="s">
        <v>56</v>
      </c>
      <c r="E87">
        <v>2</v>
      </c>
      <c r="F87" t="s">
        <v>65</v>
      </c>
      <c r="G87" t="s">
        <v>76</v>
      </c>
      <c r="H87" t="s">
        <v>78</v>
      </c>
      <c r="I87">
        <v>7634</v>
      </c>
      <c r="J87" s="2">
        <v>40483</v>
      </c>
      <c r="K87" t="s">
        <v>81</v>
      </c>
      <c r="L87" t="s">
        <v>83</v>
      </c>
      <c r="M87" s="2">
        <v>30796</v>
      </c>
      <c r="N87" t="s">
        <v>93</v>
      </c>
      <c r="O87">
        <v>13871</v>
      </c>
      <c r="P87">
        <v>8972</v>
      </c>
      <c r="Q87">
        <v>5716</v>
      </c>
      <c r="R87">
        <v>0.11</v>
      </c>
      <c r="S87" s="4">
        <v>4.1395832207573147</v>
      </c>
      <c r="T87" s="4">
        <v>7.8835838263231679</v>
      </c>
      <c r="U87">
        <v>90.80215120540899</v>
      </c>
      <c r="V87">
        <v>6</v>
      </c>
      <c r="W87">
        <v>305</v>
      </c>
      <c r="X87">
        <v>4</v>
      </c>
      <c r="Y87">
        <v>1</v>
      </c>
      <c r="Z87">
        <v>0</v>
      </c>
    </row>
    <row r="88" spans="1:26" x14ac:dyDescent="0.25">
      <c r="A88" t="s">
        <v>16</v>
      </c>
      <c r="B88">
        <v>4424</v>
      </c>
      <c r="C88" t="s">
        <v>41</v>
      </c>
      <c r="D88" t="s">
        <v>61</v>
      </c>
      <c r="F88" t="s">
        <v>66</v>
      </c>
      <c r="G88" t="s">
        <v>76</v>
      </c>
      <c r="H88" t="s">
        <v>80</v>
      </c>
      <c r="I88">
        <v>28000</v>
      </c>
      <c r="J88" s="2">
        <v>40689</v>
      </c>
      <c r="K88" t="s">
        <v>82</v>
      </c>
      <c r="L88" t="s">
        <v>83</v>
      </c>
      <c r="M88" s="2">
        <v>29645</v>
      </c>
      <c r="N88" t="s">
        <v>94</v>
      </c>
      <c r="O88">
        <v>12176</v>
      </c>
      <c r="P88">
        <v>17861</v>
      </c>
      <c r="Q88">
        <v>5327</v>
      </c>
      <c r="R88">
        <v>0.17</v>
      </c>
      <c r="S88" s="4">
        <v>1.8248204012032008</v>
      </c>
      <c r="T88" s="4">
        <v>7.5010107399229247</v>
      </c>
      <c r="U88">
        <v>99.476060091287835</v>
      </c>
      <c r="V88">
        <v>5</v>
      </c>
      <c r="W88">
        <v>232</v>
      </c>
      <c r="X88">
        <v>3</v>
      </c>
      <c r="Y88">
        <v>1</v>
      </c>
      <c r="Z88">
        <v>0</v>
      </c>
    </row>
    <row r="89" spans="1:26" x14ac:dyDescent="0.25">
      <c r="A89" t="s">
        <v>17</v>
      </c>
      <c r="B89">
        <v>8519</v>
      </c>
      <c r="C89" t="s">
        <v>28</v>
      </c>
      <c r="D89" t="s">
        <v>55</v>
      </c>
      <c r="E89">
        <v>2</v>
      </c>
      <c r="F89" t="s">
        <v>67</v>
      </c>
      <c r="G89" t="s">
        <v>76</v>
      </c>
      <c r="H89" t="s">
        <v>79</v>
      </c>
      <c r="I89">
        <v>17197</v>
      </c>
      <c r="J89" s="2">
        <v>41003</v>
      </c>
      <c r="K89" t="s">
        <v>82</v>
      </c>
      <c r="L89" t="s">
        <v>83</v>
      </c>
      <c r="M89" s="2">
        <v>27422</v>
      </c>
      <c r="N89" t="s">
        <v>87</v>
      </c>
      <c r="O89">
        <v>10540</v>
      </c>
      <c r="P89">
        <v>14475</v>
      </c>
      <c r="Q89">
        <v>5402</v>
      </c>
      <c r="R89">
        <v>0.44</v>
      </c>
      <c r="S89" s="4">
        <v>2.5308169086872776</v>
      </c>
      <c r="T89" s="4">
        <v>6.3184654109569243</v>
      </c>
      <c r="U89">
        <v>82.48110340306367</v>
      </c>
      <c r="V89">
        <v>2</v>
      </c>
      <c r="W89">
        <v>132</v>
      </c>
      <c r="X89">
        <v>3</v>
      </c>
      <c r="Y89">
        <v>1</v>
      </c>
      <c r="Z89">
        <v>0</v>
      </c>
    </row>
    <row r="90" spans="1:26" x14ac:dyDescent="0.25">
      <c r="A90" t="s">
        <v>14</v>
      </c>
      <c r="B90">
        <v>9114</v>
      </c>
      <c r="C90" t="s">
        <v>33</v>
      </c>
      <c r="D90" t="s">
        <v>56</v>
      </c>
      <c r="E90">
        <v>3</v>
      </c>
      <c r="F90" t="s">
        <v>65</v>
      </c>
      <c r="G90" t="s">
        <v>76</v>
      </c>
      <c r="H90" t="s">
        <v>78</v>
      </c>
      <c r="I90">
        <v>13019</v>
      </c>
      <c r="J90" s="2">
        <v>41814</v>
      </c>
      <c r="K90" t="s">
        <v>81</v>
      </c>
      <c r="L90" t="s">
        <v>83</v>
      </c>
      <c r="M90" s="2">
        <v>27662</v>
      </c>
      <c r="N90" t="s">
        <v>86</v>
      </c>
      <c r="O90">
        <v>8301</v>
      </c>
      <c r="P90">
        <v>6206</v>
      </c>
      <c r="Q90">
        <v>5417</v>
      </c>
      <c r="R90">
        <v>0.37</v>
      </c>
      <c r="S90" s="4">
        <v>3.4296679527966241</v>
      </c>
      <c r="T90" s="4">
        <v>9.3642027334855289</v>
      </c>
      <c r="U90">
        <v>82.877952821543929</v>
      </c>
      <c r="V90">
        <v>2</v>
      </c>
      <c r="W90">
        <v>130</v>
      </c>
      <c r="X90">
        <v>3</v>
      </c>
      <c r="Y90">
        <v>1</v>
      </c>
      <c r="Z90">
        <v>0</v>
      </c>
    </row>
    <row r="91" spans="1:26" x14ac:dyDescent="0.25">
      <c r="A91" t="s">
        <v>13</v>
      </c>
      <c r="B91">
        <v>3415</v>
      </c>
      <c r="C91" t="s">
        <v>45</v>
      </c>
      <c r="D91" t="s">
        <v>51</v>
      </c>
      <c r="E91">
        <v>6</v>
      </c>
      <c r="F91" t="s">
        <v>66</v>
      </c>
      <c r="G91" t="s">
        <v>75</v>
      </c>
      <c r="H91" t="s">
        <v>77</v>
      </c>
      <c r="I91">
        <v>9891</v>
      </c>
      <c r="J91" s="2">
        <v>43175</v>
      </c>
      <c r="K91" t="s">
        <v>81</v>
      </c>
      <c r="L91" t="s">
        <v>83</v>
      </c>
      <c r="M91" s="2">
        <v>29628</v>
      </c>
      <c r="N91" t="s">
        <v>85</v>
      </c>
      <c r="O91">
        <v>14625</v>
      </c>
      <c r="P91">
        <v>8398</v>
      </c>
      <c r="Q91">
        <v>5009</v>
      </c>
      <c r="R91">
        <v>0.1</v>
      </c>
      <c r="S91" s="4">
        <v>3.4786950634123932</v>
      </c>
      <c r="T91" s="4">
        <v>6.1583346816363056</v>
      </c>
      <c r="U91">
        <v>92.490891664673313</v>
      </c>
      <c r="V91">
        <v>6</v>
      </c>
      <c r="W91">
        <v>291</v>
      </c>
      <c r="X91">
        <v>4</v>
      </c>
      <c r="Y91">
        <v>1</v>
      </c>
      <c r="Z91">
        <v>0</v>
      </c>
    </row>
    <row r="92" spans="1:26" x14ac:dyDescent="0.25">
      <c r="A92" t="s">
        <v>15</v>
      </c>
      <c r="B92">
        <v>8456</v>
      </c>
      <c r="C92" t="s">
        <v>23</v>
      </c>
      <c r="D92" t="s">
        <v>55</v>
      </c>
      <c r="E92">
        <v>2</v>
      </c>
      <c r="F92" t="s">
        <v>65</v>
      </c>
      <c r="G92" t="s">
        <v>76</v>
      </c>
      <c r="H92" t="s">
        <v>79</v>
      </c>
      <c r="I92">
        <v>14907</v>
      </c>
      <c r="J92" s="2">
        <v>40483</v>
      </c>
      <c r="K92" t="s">
        <v>81</v>
      </c>
      <c r="L92" t="s">
        <v>83</v>
      </c>
      <c r="M92" s="2">
        <v>23239</v>
      </c>
      <c r="N92" t="s">
        <v>96</v>
      </c>
      <c r="O92">
        <v>6042</v>
      </c>
      <c r="P92">
        <v>13951</v>
      </c>
      <c r="Q92">
        <v>5748</v>
      </c>
      <c r="R92">
        <v>0.4</v>
      </c>
      <c r="S92" s="4">
        <v>1.8208456058990703</v>
      </c>
      <c r="T92" s="4">
        <v>8.8882051432794178</v>
      </c>
      <c r="U92">
        <v>93.319124034679476</v>
      </c>
      <c r="V92">
        <v>2</v>
      </c>
      <c r="W92">
        <v>130</v>
      </c>
      <c r="X92">
        <v>3</v>
      </c>
      <c r="Y92">
        <v>1</v>
      </c>
      <c r="Z92">
        <v>0</v>
      </c>
    </row>
    <row r="93" spans="1:26" x14ac:dyDescent="0.25">
      <c r="A93" t="s">
        <v>16</v>
      </c>
      <c r="B93">
        <v>5328</v>
      </c>
      <c r="C93" t="s">
        <v>41</v>
      </c>
      <c r="D93" t="s">
        <v>61</v>
      </c>
      <c r="F93" t="s">
        <v>66</v>
      </c>
      <c r="G93" t="s">
        <v>76</v>
      </c>
      <c r="H93" t="s">
        <v>80</v>
      </c>
      <c r="I93">
        <v>28000</v>
      </c>
      <c r="J93" s="2">
        <v>40689</v>
      </c>
      <c r="K93" t="s">
        <v>82</v>
      </c>
      <c r="L93" t="s">
        <v>83</v>
      </c>
      <c r="M93" s="2">
        <v>29645</v>
      </c>
      <c r="N93" t="s">
        <v>95</v>
      </c>
      <c r="O93">
        <v>8587</v>
      </c>
      <c r="P93">
        <v>13306</v>
      </c>
      <c r="Q93">
        <v>5088</v>
      </c>
      <c r="R93">
        <v>0.89</v>
      </c>
      <c r="S93" s="4">
        <v>2.2501424868768662</v>
      </c>
      <c r="T93" s="4">
        <v>7.6478321684193515</v>
      </c>
      <c r="U93">
        <v>82.693746055202297</v>
      </c>
      <c r="V93">
        <v>5</v>
      </c>
      <c r="W93">
        <v>246</v>
      </c>
      <c r="X93">
        <v>5</v>
      </c>
      <c r="Y93">
        <v>1</v>
      </c>
      <c r="Z93">
        <v>0</v>
      </c>
    </row>
    <row r="94" spans="1:26" x14ac:dyDescent="0.25">
      <c r="A94" t="s">
        <v>17</v>
      </c>
      <c r="B94">
        <v>4570</v>
      </c>
      <c r="C94" t="s">
        <v>31</v>
      </c>
      <c r="D94" t="s">
        <v>55</v>
      </c>
      <c r="E94">
        <v>1</v>
      </c>
      <c r="F94" t="s">
        <v>68</v>
      </c>
      <c r="G94" t="s">
        <v>76</v>
      </c>
      <c r="H94" t="s">
        <v>79</v>
      </c>
      <c r="I94">
        <v>17112</v>
      </c>
      <c r="J94" s="2">
        <v>41003</v>
      </c>
      <c r="K94" t="s">
        <v>82</v>
      </c>
      <c r="L94" t="s">
        <v>83</v>
      </c>
      <c r="M94" s="2">
        <v>29298</v>
      </c>
      <c r="N94" t="s">
        <v>100</v>
      </c>
      <c r="O94">
        <v>10603</v>
      </c>
      <c r="P94">
        <v>8819</v>
      </c>
      <c r="Q94">
        <v>5768</v>
      </c>
      <c r="R94">
        <v>0.42</v>
      </c>
      <c r="S94" s="4">
        <v>2.9930795894304567</v>
      </c>
      <c r="T94" s="4">
        <v>6.565195512780071</v>
      </c>
      <c r="U94">
        <v>98.380368286111732</v>
      </c>
      <c r="V94">
        <v>2</v>
      </c>
      <c r="W94">
        <v>143</v>
      </c>
      <c r="X94">
        <v>3</v>
      </c>
      <c r="Y94">
        <v>1</v>
      </c>
      <c r="Z94">
        <v>0</v>
      </c>
    </row>
    <row r="95" spans="1:26" x14ac:dyDescent="0.25">
      <c r="A95" t="s">
        <v>14</v>
      </c>
      <c r="B95">
        <v>5569</v>
      </c>
      <c r="C95" t="s">
        <v>30</v>
      </c>
      <c r="D95" t="s">
        <v>56</v>
      </c>
      <c r="E95">
        <v>3</v>
      </c>
      <c r="F95" t="s">
        <v>65</v>
      </c>
      <c r="G95" t="s">
        <v>76</v>
      </c>
      <c r="H95" t="s">
        <v>78</v>
      </c>
      <c r="I95">
        <v>13019</v>
      </c>
      <c r="J95" s="2">
        <v>41814</v>
      </c>
      <c r="K95" t="s">
        <v>81</v>
      </c>
      <c r="L95" t="s">
        <v>83</v>
      </c>
      <c r="M95" s="2">
        <v>30315</v>
      </c>
      <c r="N95" t="s">
        <v>98</v>
      </c>
      <c r="O95">
        <v>13684</v>
      </c>
      <c r="P95">
        <v>15434</v>
      </c>
      <c r="Q95">
        <v>5947</v>
      </c>
      <c r="R95">
        <v>0.46</v>
      </c>
      <c r="S95" s="4">
        <v>3.3125215113822817</v>
      </c>
      <c r="T95" s="4">
        <v>8.1979588732286413</v>
      </c>
      <c r="U95">
        <v>87.788524430565673</v>
      </c>
      <c r="V95">
        <v>2</v>
      </c>
      <c r="W95">
        <v>129</v>
      </c>
      <c r="X95">
        <v>3</v>
      </c>
      <c r="Y95">
        <v>1</v>
      </c>
      <c r="Z95">
        <v>0</v>
      </c>
    </row>
    <row r="96" spans="1:26" x14ac:dyDescent="0.25">
      <c r="A96" t="s">
        <v>13</v>
      </c>
      <c r="B96">
        <v>6650</v>
      </c>
      <c r="C96" t="s">
        <v>20</v>
      </c>
      <c r="D96" t="s">
        <v>52</v>
      </c>
      <c r="E96">
        <v>3</v>
      </c>
      <c r="F96" t="s">
        <v>64</v>
      </c>
      <c r="G96" t="s">
        <v>75</v>
      </c>
      <c r="H96" t="s">
        <v>77</v>
      </c>
      <c r="I96">
        <v>24718</v>
      </c>
      <c r="J96" s="2">
        <v>43175</v>
      </c>
      <c r="K96" t="s">
        <v>81</v>
      </c>
      <c r="L96" t="s">
        <v>83</v>
      </c>
      <c r="M96" s="2">
        <v>29342</v>
      </c>
      <c r="N96" t="s">
        <v>94</v>
      </c>
      <c r="O96">
        <v>18652</v>
      </c>
      <c r="P96">
        <v>10445</v>
      </c>
      <c r="Q96">
        <v>5431</v>
      </c>
      <c r="R96">
        <v>0.09</v>
      </c>
      <c r="S96" s="4">
        <v>4.7242800982287143</v>
      </c>
      <c r="T96" s="4">
        <v>8.2526108380495469</v>
      </c>
      <c r="U96">
        <v>92.350327241503351</v>
      </c>
      <c r="V96">
        <v>6</v>
      </c>
      <c r="W96">
        <v>255</v>
      </c>
      <c r="X96">
        <v>4</v>
      </c>
      <c r="Y96">
        <v>1</v>
      </c>
      <c r="Z96">
        <v>0</v>
      </c>
    </row>
    <row r="97" spans="1:26" x14ac:dyDescent="0.25">
      <c r="A97" t="s">
        <v>15</v>
      </c>
      <c r="B97">
        <v>7513</v>
      </c>
      <c r="C97" t="s">
        <v>25</v>
      </c>
      <c r="D97" t="s">
        <v>56</v>
      </c>
      <c r="E97">
        <v>2</v>
      </c>
      <c r="F97" t="s">
        <v>65</v>
      </c>
      <c r="G97" t="s">
        <v>76</v>
      </c>
      <c r="H97" t="s">
        <v>78</v>
      </c>
      <c r="I97">
        <v>7634</v>
      </c>
      <c r="J97" s="2">
        <v>40483</v>
      </c>
      <c r="K97" t="s">
        <v>81</v>
      </c>
      <c r="L97" t="s">
        <v>83</v>
      </c>
      <c r="M97" s="2">
        <v>29474</v>
      </c>
      <c r="N97" t="s">
        <v>96</v>
      </c>
      <c r="O97">
        <v>19427</v>
      </c>
      <c r="P97">
        <v>14974</v>
      </c>
      <c r="Q97">
        <v>5837</v>
      </c>
      <c r="R97">
        <v>0.37</v>
      </c>
      <c r="S97" s="4">
        <v>1.9032098093271763</v>
      </c>
      <c r="T97" s="4">
        <v>9.2322267092350714</v>
      </c>
      <c r="U97">
        <v>80.788503055540019</v>
      </c>
      <c r="V97">
        <v>2</v>
      </c>
      <c r="W97">
        <v>155</v>
      </c>
      <c r="X97">
        <v>3</v>
      </c>
      <c r="Y97">
        <v>1</v>
      </c>
      <c r="Z97">
        <v>0</v>
      </c>
    </row>
    <row r="98" spans="1:26" x14ac:dyDescent="0.25">
      <c r="A98" t="s">
        <v>16</v>
      </c>
      <c r="B98">
        <v>3993</v>
      </c>
      <c r="C98" t="s">
        <v>41</v>
      </c>
      <c r="D98" t="s">
        <v>61</v>
      </c>
      <c r="F98" t="s">
        <v>66</v>
      </c>
      <c r="G98" t="s">
        <v>76</v>
      </c>
      <c r="H98" t="s">
        <v>80</v>
      </c>
      <c r="I98">
        <v>28000</v>
      </c>
      <c r="J98" s="2">
        <v>40689</v>
      </c>
      <c r="K98" t="s">
        <v>82</v>
      </c>
      <c r="L98" t="s">
        <v>83</v>
      </c>
      <c r="M98" s="2">
        <v>29645</v>
      </c>
      <c r="N98" t="s">
        <v>99</v>
      </c>
      <c r="O98">
        <v>19213</v>
      </c>
      <c r="P98">
        <v>16448</v>
      </c>
      <c r="Q98">
        <v>5837</v>
      </c>
      <c r="R98">
        <v>0.1</v>
      </c>
      <c r="S98" s="4">
        <v>3.3722397834325144</v>
      </c>
      <c r="T98" s="4">
        <v>9.6515126729901333</v>
      </c>
      <c r="U98">
        <v>92.908150088890508</v>
      </c>
      <c r="V98">
        <v>6</v>
      </c>
      <c r="W98">
        <v>265</v>
      </c>
      <c r="X98">
        <v>4</v>
      </c>
      <c r="Y98">
        <v>1</v>
      </c>
      <c r="Z98">
        <v>0</v>
      </c>
    </row>
    <row r="99" spans="1:26" x14ac:dyDescent="0.25">
      <c r="A99" t="s">
        <v>15</v>
      </c>
      <c r="B99">
        <v>4553</v>
      </c>
      <c r="C99" t="s">
        <v>25</v>
      </c>
      <c r="D99" t="s">
        <v>56</v>
      </c>
      <c r="E99">
        <v>2</v>
      </c>
      <c r="F99" t="s">
        <v>65</v>
      </c>
      <c r="G99" t="s">
        <v>76</v>
      </c>
      <c r="H99" t="s">
        <v>78</v>
      </c>
      <c r="I99">
        <v>7634</v>
      </c>
      <c r="J99" s="2">
        <v>40483</v>
      </c>
      <c r="K99" t="s">
        <v>81</v>
      </c>
      <c r="L99" t="s">
        <v>83</v>
      </c>
      <c r="M99" s="2">
        <v>24392</v>
      </c>
      <c r="N99" t="s">
        <v>89</v>
      </c>
      <c r="O99">
        <v>14674</v>
      </c>
      <c r="P99">
        <v>15215</v>
      </c>
      <c r="Q99">
        <v>5401</v>
      </c>
      <c r="R99">
        <v>0.1</v>
      </c>
      <c r="S99" s="4">
        <v>3.410647890345067</v>
      </c>
      <c r="T99" s="4">
        <v>9.3615429513116837</v>
      </c>
      <c r="U99">
        <v>90.657976224870907</v>
      </c>
      <c r="V99">
        <v>6</v>
      </c>
      <c r="W99">
        <v>279</v>
      </c>
      <c r="X99">
        <v>4</v>
      </c>
      <c r="Y99">
        <v>1</v>
      </c>
      <c r="Z99">
        <v>0</v>
      </c>
    </row>
    <row r="100" spans="1:26" x14ac:dyDescent="0.25">
      <c r="A100" t="s">
        <v>16</v>
      </c>
      <c r="B100">
        <v>1166</v>
      </c>
      <c r="C100" t="s">
        <v>41</v>
      </c>
      <c r="D100" t="s">
        <v>61</v>
      </c>
      <c r="F100" t="s">
        <v>66</v>
      </c>
      <c r="G100" t="s">
        <v>76</v>
      </c>
      <c r="H100" t="s">
        <v>80</v>
      </c>
      <c r="I100">
        <v>28000</v>
      </c>
      <c r="J100" s="2">
        <v>40689</v>
      </c>
      <c r="K100" t="s">
        <v>82</v>
      </c>
      <c r="L100" t="s">
        <v>83</v>
      </c>
      <c r="M100" s="2">
        <v>29645</v>
      </c>
      <c r="N100" t="s">
        <v>92</v>
      </c>
      <c r="O100">
        <v>5950</v>
      </c>
      <c r="P100">
        <v>17963</v>
      </c>
      <c r="Q100">
        <v>5957</v>
      </c>
      <c r="R100">
        <v>0.11</v>
      </c>
      <c r="S100" s="4">
        <v>1.2412898473189125</v>
      </c>
      <c r="T100" s="4">
        <v>5.0579384843566775</v>
      </c>
      <c r="U100">
        <v>89.321376224358971</v>
      </c>
      <c r="V100">
        <v>6</v>
      </c>
      <c r="W100">
        <v>284</v>
      </c>
      <c r="X100">
        <v>4</v>
      </c>
      <c r="Y100">
        <v>1</v>
      </c>
      <c r="Z100">
        <v>0</v>
      </c>
    </row>
    <row r="101" spans="1:26" x14ac:dyDescent="0.25">
      <c r="A101" t="s">
        <v>17</v>
      </c>
      <c r="B101">
        <v>7989</v>
      </c>
      <c r="C101" t="s">
        <v>28</v>
      </c>
      <c r="D101" t="s">
        <v>55</v>
      </c>
      <c r="E101">
        <v>2</v>
      </c>
      <c r="F101" t="s">
        <v>67</v>
      </c>
      <c r="G101" t="s">
        <v>76</v>
      </c>
      <c r="H101" t="s">
        <v>79</v>
      </c>
      <c r="I101">
        <v>17197</v>
      </c>
      <c r="J101" s="2">
        <v>41003</v>
      </c>
      <c r="K101" t="s">
        <v>82</v>
      </c>
      <c r="L101" t="s">
        <v>83</v>
      </c>
      <c r="M101" s="2">
        <v>27422</v>
      </c>
      <c r="N101" t="s">
        <v>94</v>
      </c>
      <c r="O101">
        <v>8364</v>
      </c>
      <c r="P101">
        <v>17744</v>
      </c>
      <c r="Q101">
        <v>5522</v>
      </c>
      <c r="R101">
        <v>0.9</v>
      </c>
      <c r="S101" s="4">
        <v>2.9675267042367945</v>
      </c>
      <c r="T101" s="4">
        <v>5.4248090428736546</v>
      </c>
      <c r="U101">
        <v>88.719163680846151</v>
      </c>
      <c r="V101">
        <v>5</v>
      </c>
      <c r="W101">
        <v>221</v>
      </c>
      <c r="X101">
        <v>6</v>
      </c>
      <c r="Y101">
        <v>1</v>
      </c>
      <c r="Z101">
        <v>0</v>
      </c>
    </row>
    <row r="102" spans="1:26" x14ac:dyDescent="0.25">
      <c r="A102" t="s">
        <v>14</v>
      </c>
      <c r="B102">
        <v>3206</v>
      </c>
      <c r="C102" t="s">
        <v>33</v>
      </c>
      <c r="D102" t="s">
        <v>56</v>
      </c>
      <c r="E102">
        <v>3</v>
      </c>
      <c r="F102" t="s">
        <v>65</v>
      </c>
      <c r="G102" t="s">
        <v>76</v>
      </c>
      <c r="H102" t="s">
        <v>78</v>
      </c>
      <c r="I102">
        <v>13019</v>
      </c>
      <c r="J102" s="2">
        <v>41814</v>
      </c>
      <c r="K102" t="s">
        <v>81</v>
      </c>
      <c r="L102" t="s">
        <v>83</v>
      </c>
      <c r="M102" s="2">
        <v>31692</v>
      </c>
      <c r="N102" t="s">
        <v>98</v>
      </c>
      <c r="O102">
        <v>18506</v>
      </c>
      <c r="P102">
        <v>4402</v>
      </c>
      <c r="Q102">
        <v>5075</v>
      </c>
      <c r="R102">
        <v>0.38</v>
      </c>
      <c r="S102" s="4">
        <v>1.150544480143699</v>
      </c>
      <c r="T102" s="4">
        <v>8.1338892417232209</v>
      </c>
      <c r="U102">
        <v>81.47134025129823</v>
      </c>
      <c r="V102">
        <v>2</v>
      </c>
      <c r="W102">
        <v>154</v>
      </c>
      <c r="X102">
        <v>3</v>
      </c>
      <c r="Y102">
        <v>1</v>
      </c>
      <c r="Z102">
        <v>0</v>
      </c>
    </row>
    <row r="103" spans="1:26" x14ac:dyDescent="0.25">
      <c r="A103" t="s">
        <v>13</v>
      </c>
      <c r="B103">
        <v>2198</v>
      </c>
      <c r="C103" t="s">
        <v>42</v>
      </c>
      <c r="D103" t="s">
        <v>59</v>
      </c>
      <c r="E103">
        <v>2</v>
      </c>
      <c r="F103" t="s">
        <v>64</v>
      </c>
      <c r="G103" t="s">
        <v>75</v>
      </c>
      <c r="H103" t="s">
        <v>77</v>
      </c>
      <c r="I103">
        <v>11803</v>
      </c>
      <c r="J103" s="2">
        <v>43175</v>
      </c>
      <c r="K103" t="s">
        <v>81</v>
      </c>
      <c r="L103" t="s">
        <v>83</v>
      </c>
      <c r="M103" s="2">
        <v>26214</v>
      </c>
      <c r="N103" t="s">
        <v>97</v>
      </c>
      <c r="O103">
        <v>5409</v>
      </c>
      <c r="P103">
        <v>3204</v>
      </c>
      <c r="Q103">
        <v>5599</v>
      </c>
      <c r="R103">
        <v>0.36</v>
      </c>
      <c r="S103" s="4">
        <v>3.1578689918902478</v>
      </c>
      <c r="T103" s="4">
        <v>9.4328973258247935</v>
      </c>
      <c r="U103">
        <v>89.427346134059391</v>
      </c>
      <c r="V103">
        <v>2</v>
      </c>
      <c r="W103">
        <v>147</v>
      </c>
      <c r="X103">
        <v>3</v>
      </c>
      <c r="Y103">
        <v>1</v>
      </c>
      <c r="Z103">
        <v>0</v>
      </c>
    </row>
    <row r="104" spans="1:26" x14ac:dyDescent="0.25">
      <c r="A104" t="s">
        <v>15</v>
      </c>
      <c r="B104">
        <v>5981</v>
      </c>
      <c r="C104" t="s">
        <v>23</v>
      </c>
      <c r="D104" t="s">
        <v>55</v>
      </c>
      <c r="E104">
        <v>1</v>
      </c>
      <c r="F104" t="s">
        <v>65</v>
      </c>
      <c r="G104" t="s">
        <v>76</v>
      </c>
      <c r="H104" t="s">
        <v>79</v>
      </c>
      <c r="I104">
        <v>14833</v>
      </c>
      <c r="J104" s="2">
        <v>40483</v>
      </c>
      <c r="K104" t="s">
        <v>81</v>
      </c>
      <c r="L104" t="s">
        <v>83</v>
      </c>
      <c r="M104" s="2">
        <v>30265</v>
      </c>
      <c r="N104" t="s">
        <v>94</v>
      </c>
      <c r="O104">
        <v>5517</v>
      </c>
      <c r="P104">
        <v>9474</v>
      </c>
      <c r="Q104">
        <v>5299</v>
      </c>
      <c r="R104">
        <v>0.42</v>
      </c>
      <c r="S104" s="4">
        <v>4.8329498335695309</v>
      </c>
      <c r="T104" s="4">
        <v>7.2654872531583781</v>
      </c>
      <c r="U104">
        <v>99.056390238455776</v>
      </c>
      <c r="V104">
        <v>2</v>
      </c>
      <c r="W104">
        <v>150</v>
      </c>
      <c r="X104">
        <v>3</v>
      </c>
      <c r="Y104">
        <v>1</v>
      </c>
      <c r="Z104">
        <v>0</v>
      </c>
    </row>
    <row r="105" spans="1:26" x14ac:dyDescent="0.25">
      <c r="A105" t="s">
        <v>16</v>
      </c>
      <c r="B105">
        <v>8530</v>
      </c>
      <c r="C105" t="s">
        <v>41</v>
      </c>
      <c r="D105" t="s">
        <v>61</v>
      </c>
      <c r="F105" t="s">
        <v>66</v>
      </c>
      <c r="G105" t="s">
        <v>76</v>
      </c>
      <c r="H105" t="s">
        <v>80</v>
      </c>
      <c r="I105">
        <v>28000</v>
      </c>
      <c r="J105" s="2">
        <v>40689</v>
      </c>
      <c r="K105" t="s">
        <v>82</v>
      </c>
      <c r="L105" t="s">
        <v>83</v>
      </c>
      <c r="M105" s="2">
        <v>29645</v>
      </c>
      <c r="N105" t="s">
        <v>98</v>
      </c>
      <c r="O105">
        <v>17649</v>
      </c>
      <c r="P105">
        <v>11269</v>
      </c>
      <c r="Q105">
        <v>5045</v>
      </c>
      <c r="R105">
        <v>0.09</v>
      </c>
      <c r="S105" s="4">
        <v>2.7757696384164041</v>
      </c>
      <c r="T105" s="4">
        <v>8.7605939364903982</v>
      </c>
      <c r="U105">
        <v>93.954845356984578</v>
      </c>
      <c r="V105">
        <v>7</v>
      </c>
      <c r="W105">
        <v>267</v>
      </c>
      <c r="X105">
        <v>4</v>
      </c>
      <c r="Y105">
        <v>1</v>
      </c>
      <c r="Z105">
        <v>0</v>
      </c>
    </row>
    <row r="106" spans="1:26" x14ac:dyDescent="0.25">
      <c r="A106" t="s">
        <v>15</v>
      </c>
      <c r="B106">
        <v>2021</v>
      </c>
      <c r="C106" t="s">
        <v>25</v>
      </c>
      <c r="D106" t="s">
        <v>56</v>
      </c>
      <c r="E106">
        <v>2</v>
      </c>
      <c r="F106" t="s">
        <v>65</v>
      </c>
      <c r="G106" t="s">
        <v>76</v>
      </c>
      <c r="H106" t="s">
        <v>78</v>
      </c>
      <c r="I106">
        <v>7634</v>
      </c>
      <c r="J106" s="2">
        <v>40483</v>
      </c>
      <c r="K106" t="s">
        <v>81</v>
      </c>
      <c r="L106" t="s">
        <v>83</v>
      </c>
      <c r="M106" s="2">
        <v>29214</v>
      </c>
      <c r="N106" t="s">
        <v>93</v>
      </c>
      <c r="O106">
        <v>9154</v>
      </c>
      <c r="P106">
        <v>9530</v>
      </c>
      <c r="Q106">
        <v>5225</v>
      </c>
      <c r="R106">
        <v>0.43</v>
      </c>
      <c r="S106" s="4">
        <v>3.9311533457893075</v>
      </c>
      <c r="T106" s="4">
        <v>7.7815835450462068</v>
      </c>
      <c r="U106">
        <v>87.43945639051006</v>
      </c>
      <c r="V106">
        <v>2</v>
      </c>
      <c r="W106">
        <v>158</v>
      </c>
      <c r="X106">
        <v>3</v>
      </c>
      <c r="Y106">
        <v>1</v>
      </c>
      <c r="Z106">
        <v>0</v>
      </c>
    </row>
    <row r="107" spans="1:26" x14ac:dyDescent="0.25">
      <c r="A107" t="s">
        <v>16</v>
      </c>
      <c r="B107">
        <v>9649</v>
      </c>
      <c r="C107" t="s">
        <v>41</v>
      </c>
      <c r="D107" t="s">
        <v>61</v>
      </c>
      <c r="F107" t="s">
        <v>66</v>
      </c>
      <c r="G107" t="s">
        <v>76</v>
      </c>
      <c r="H107" t="s">
        <v>80</v>
      </c>
      <c r="I107">
        <v>32568</v>
      </c>
      <c r="J107" s="2">
        <v>40689</v>
      </c>
      <c r="K107" t="s">
        <v>82</v>
      </c>
      <c r="L107" t="s">
        <v>83</v>
      </c>
      <c r="M107" s="2">
        <v>29645</v>
      </c>
      <c r="N107" t="s">
        <v>93</v>
      </c>
      <c r="O107">
        <v>18304</v>
      </c>
      <c r="P107">
        <v>4741</v>
      </c>
      <c r="Q107">
        <v>5172</v>
      </c>
      <c r="R107">
        <v>0.24</v>
      </c>
      <c r="S107" s="4">
        <v>4.0374092081040072</v>
      </c>
      <c r="T107" s="4">
        <v>6.0791625360571206</v>
      </c>
      <c r="U107">
        <v>89.177745504021374</v>
      </c>
      <c r="V107">
        <v>7</v>
      </c>
      <c r="W107">
        <v>224</v>
      </c>
      <c r="X107">
        <v>5</v>
      </c>
      <c r="Y107">
        <v>1</v>
      </c>
      <c r="Z107">
        <v>0</v>
      </c>
    </row>
    <row r="108" spans="1:26" x14ac:dyDescent="0.25">
      <c r="A108" t="s">
        <v>17</v>
      </c>
      <c r="B108">
        <v>2447</v>
      </c>
      <c r="C108" t="s">
        <v>31</v>
      </c>
      <c r="D108" t="s">
        <v>55</v>
      </c>
      <c r="E108">
        <v>1</v>
      </c>
      <c r="F108" t="s">
        <v>68</v>
      </c>
      <c r="G108" t="s">
        <v>76</v>
      </c>
      <c r="H108" t="s">
        <v>79</v>
      </c>
      <c r="I108">
        <v>17112</v>
      </c>
      <c r="J108" s="2">
        <v>41003</v>
      </c>
      <c r="K108" t="s">
        <v>82</v>
      </c>
      <c r="L108" t="s">
        <v>83</v>
      </c>
      <c r="M108" s="2">
        <v>29298</v>
      </c>
      <c r="N108" t="s">
        <v>89</v>
      </c>
      <c r="O108">
        <v>18268</v>
      </c>
      <c r="P108">
        <v>4144</v>
      </c>
      <c r="Q108">
        <v>5288</v>
      </c>
      <c r="R108">
        <v>0.91</v>
      </c>
      <c r="S108" s="4">
        <v>3.888738827091593</v>
      </c>
      <c r="T108" s="4">
        <v>8.3057271951342191</v>
      </c>
      <c r="U108">
        <v>83.755825772553493</v>
      </c>
      <c r="V108">
        <v>4</v>
      </c>
      <c r="W108">
        <v>257</v>
      </c>
      <c r="X108">
        <v>5</v>
      </c>
      <c r="Y108">
        <v>1</v>
      </c>
      <c r="Z108">
        <v>0</v>
      </c>
    </row>
    <row r="109" spans="1:26" x14ac:dyDescent="0.25">
      <c r="A109" t="s">
        <v>14</v>
      </c>
      <c r="B109">
        <v>3542</v>
      </c>
      <c r="C109" t="s">
        <v>33</v>
      </c>
      <c r="D109" t="s">
        <v>56</v>
      </c>
      <c r="E109">
        <v>3</v>
      </c>
      <c r="F109" t="s">
        <v>65</v>
      </c>
      <c r="G109" t="s">
        <v>76</v>
      </c>
      <c r="H109" t="s">
        <v>78</v>
      </c>
      <c r="I109">
        <v>13019</v>
      </c>
      <c r="J109" s="2">
        <v>41814</v>
      </c>
      <c r="K109" t="s">
        <v>81</v>
      </c>
      <c r="L109" t="s">
        <v>83</v>
      </c>
      <c r="M109" s="2">
        <v>33308</v>
      </c>
      <c r="N109" t="s">
        <v>91</v>
      </c>
      <c r="O109">
        <v>7707</v>
      </c>
      <c r="P109">
        <v>3069</v>
      </c>
      <c r="Q109">
        <v>5074</v>
      </c>
      <c r="R109">
        <v>0.44</v>
      </c>
      <c r="S109" s="4">
        <v>3.3269669796241086</v>
      </c>
      <c r="T109" s="4">
        <v>9.1012469164374661</v>
      </c>
      <c r="U109">
        <v>91.292558546626211</v>
      </c>
      <c r="V109">
        <v>2</v>
      </c>
      <c r="W109">
        <v>148</v>
      </c>
      <c r="X109">
        <v>3</v>
      </c>
      <c r="Y109">
        <v>1</v>
      </c>
      <c r="Z109">
        <v>0</v>
      </c>
    </row>
    <row r="110" spans="1:26" x14ac:dyDescent="0.25">
      <c r="A110" t="s">
        <v>13</v>
      </c>
      <c r="B110">
        <v>3827</v>
      </c>
      <c r="C110" t="s">
        <v>46</v>
      </c>
      <c r="D110" t="s">
        <v>51</v>
      </c>
      <c r="E110">
        <v>2</v>
      </c>
      <c r="F110" t="s">
        <v>68</v>
      </c>
      <c r="G110" t="s">
        <v>75</v>
      </c>
      <c r="H110" t="s">
        <v>77</v>
      </c>
      <c r="I110">
        <v>9675</v>
      </c>
      <c r="J110" s="2">
        <v>43175</v>
      </c>
      <c r="K110" t="s">
        <v>81</v>
      </c>
      <c r="L110" t="s">
        <v>83</v>
      </c>
      <c r="M110" s="2">
        <v>29281</v>
      </c>
      <c r="N110" t="s">
        <v>91</v>
      </c>
      <c r="O110">
        <v>15273</v>
      </c>
      <c r="P110">
        <v>9487</v>
      </c>
      <c r="Q110">
        <v>5044</v>
      </c>
      <c r="R110">
        <v>0.71</v>
      </c>
      <c r="S110" s="4">
        <v>3.2423265625789797</v>
      </c>
      <c r="T110" s="4">
        <v>8.1268480721058154</v>
      </c>
      <c r="U110">
        <v>99.45760911339093</v>
      </c>
      <c r="V110">
        <v>3</v>
      </c>
      <c r="W110">
        <v>177</v>
      </c>
      <c r="X110">
        <v>4</v>
      </c>
      <c r="Y110">
        <v>1</v>
      </c>
      <c r="Z110">
        <v>0</v>
      </c>
    </row>
    <row r="111" spans="1:26" x14ac:dyDescent="0.25">
      <c r="A111" t="s">
        <v>15</v>
      </c>
      <c r="B111">
        <v>7702</v>
      </c>
      <c r="C111" t="s">
        <v>23</v>
      </c>
      <c r="D111" t="s">
        <v>55</v>
      </c>
      <c r="E111">
        <v>2</v>
      </c>
      <c r="F111" t="s">
        <v>65</v>
      </c>
      <c r="G111" t="s">
        <v>76</v>
      </c>
      <c r="H111" t="s">
        <v>79</v>
      </c>
      <c r="I111">
        <v>14907</v>
      </c>
      <c r="J111" s="2">
        <v>40483</v>
      </c>
      <c r="K111" t="s">
        <v>81</v>
      </c>
      <c r="L111" t="s">
        <v>83</v>
      </c>
      <c r="M111" s="2">
        <v>26003</v>
      </c>
      <c r="N111" t="s">
        <v>94</v>
      </c>
      <c r="O111">
        <v>18413</v>
      </c>
      <c r="P111">
        <v>9813</v>
      </c>
      <c r="Q111">
        <v>5252</v>
      </c>
      <c r="R111">
        <v>0.4</v>
      </c>
      <c r="S111" s="4">
        <v>3.3292504086195298</v>
      </c>
      <c r="T111" s="4">
        <v>5.5656064619010284</v>
      </c>
      <c r="U111">
        <v>82.876447191927411</v>
      </c>
      <c r="V111">
        <v>2</v>
      </c>
      <c r="W111">
        <v>155</v>
      </c>
      <c r="X111">
        <v>3</v>
      </c>
      <c r="Y111">
        <v>1</v>
      </c>
      <c r="Z111">
        <v>0</v>
      </c>
    </row>
    <row r="112" spans="1:26" x14ac:dyDescent="0.25">
      <c r="A112" t="s">
        <v>16</v>
      </c>
      <c r="B112">
        <v>4862</v>
      </c>
      <c r="C112" t="s">
        <v>41</v>
      </c>
      <c r="D112" t="s">
        <v>61</v>
      </c>
      <c r="F112" t="s">
        <v>66</v>
      </c>
      <c r="G112" t="s">
        <v>76</v>
      </c>
      <c r="H112" t="s">
        <v>80</v>
      </c>
      <c r="I112">
        <v>32568</v>
      </c>
      <c r="J112" s="2">
        <v>40689</v>
      </c>
      <c r="K112" t="s">
        <v>82</v>
      </c>
      <c r="L112" t="s">
        <v>83</v>
      </c>
      <c r="M112" s="2">
        <v>29645</v>
      </c>
      <c r="N112" t="s">
        <v>95</v>
      </c>
      <c r="O112">
        <v>8729</v>
      </c>
      <c r="P112">
        <v>12759</v>
      </c>
      <c r="Q112">
        <v>5129</v>
      </c>
      <c r="R112">
        <v>0.43</v>
      </c>
      <c r="S112" s="4">
        <v>4.5641018007458172</v>
      </c>
      <c r="T112" s="4">
        <v>9.7974998973798595</v>
      </c>
      <c r="U112">
        <v>81.827646466035119</v>
      </c>
      <c r="V112">
        <v>2</v>
      </c>
      <c r="W112">
        <v>144</v>
      </c>
      <c r="X112">
        <v>3</v>
      </c>
      <c r="Y112">
        <v>1</v>
      </c>
      <c r="Z112">
        <v>0</v>
      </c>
    </row>
    <row r="113" spans="1:26" x14ac:dyDescent="0.25">
      <c r="A113" t="s">
        <v>15</v>
      </c>
      <c r="B113">
        <v>6797</v>
      </c>
      <c r="C113" t="s">
        <v>25</v>
      </c>
      <c r="D113" t="s">
        <v>56</v>
      </c>
      <c r="E113">
        <v>2</v>
      </c>
      <c r="F113" t="s">
        <v>65</v>
      </c>
      <c r="G113" t="s">
        <v>76</v>
      </c>
      <c r="H113" t="s">
        <v>78</v>
      </c>
      <c r="I113">
        <v>7634</v>
      </c>
      <c r="J113" s="2">
        <v>40483</v>
      </c>
      <c r="K113" t="s">
        <v>81</v>
      </c>
      <c r="L113" t="s">
        <v>83</v>
      </c>
      <c r="M113" s="2">
        <v>29306</v>
      </c>
      <c r="N113" t="s">
        <v>91</v>
      </c>
      <c r="O113">
        <v>11031</v>
      </c>
      <c r="P113">
        <v>16025</v>
      </c>
      <c r="Q113">
        <v>5638</v>
      </c>
      <c r="R113">
        <v>0.09</v>
      </c>
      <c r="S113" s="4">
        <v>4.091045133797806</v>
      </c>
      <c r="T113" s="4">
        <v>5.7088761228612555</v>
      </c>
      <c r="U113">
        <v>80.650231614233377</v>
      </c>
      <c r="V113">
        <v>6</v>
      </c>
      <c r="W113">
        <v>289</v>
      </c>
      <c r="X113">
        <v>4</v>
      </c>
      <c r="Y113">
        <v>1</v>
      </c>
      <c r="Z113">
        <v>0</v>
      </c>
    </row>
    <row r="114" spans="1:26" x14ac:dyDescent="0.25">
      <c r="A114" t="s">
        <v>15</v>
      </c>
      <c r="B114">
        <v>1808</v>
      </c>
      <c r="C114" t="s">
        <v>25</v>
      </c>
      <c r="D114" t="s">
        <v>56</v>
      </c>
      <c r="E114">
        <v>2</v>
      </c>
      <c r="F114" t="s">
        <v>65</v>
      </c>
      <c r="G114" t="s">
        <v>76</v>
      </c>
      <c r="H114" t="s">
        <v>78</v>
      </c>
      <c r="I114">
        <v>7634</v>
      </c>
      <c r="J114" s="2">
        <v>40483</v>
      </c>
      <c r="K114" t="s">
        <v>81</v>
      </c>
      <c r="L114" t="s">
        <v>83</v>
      </c>
      <c r="M114" s="2">
        <v>23711</v>
      </c>
      <c r="N114" t="s">
        <v>99</v>
      </c>
      <c r="O114">
        <v>18220</v>
      </c>
      <c r="P114">
        <v>15797</v>
      </c>
      <c r="Q114">
        <v>5261</v>
      </c>
      <c r="R114">
        <v>0.43</v>
      </c>
      <c r="S114" s="4">
        <v>4.1558627850046967</v>
      </c>
      <c r="T114" s="4">
        <v>7.1932796428793697</v>
      </c>
      <c r="U114">
        <v>86.867395863266395</v>
      </c>
      <c r="V114">
        <v>2</v>
      </c>
      <c r="W114">
        <v>160</v>
      </c>
      <c r="X114">
        <v>3</v>
      </c>
      <c r="Y114">
        <v>1</v>
      </c>
      <c r="Z114">
        <v>0</v>
      </c>
    </row>
    <row r="115" spans="1:26" x14ac:dyDescent="0.25">
      <c r="A115" t="s">
        <v>16</v>
      </c>
      <c r="B115">
        <v>5627</v>
      </c>
      <c r="C115" t="s">
        <v>41</v>
      </c>
      <c r="D115" t="s">
        <v>61</v>
      </c>
      <c r="F115" t="s">
        <v>66</v>
      </c>
      <c r="G115" t="s">
        <v>76</v>
      </c>
      <c r="H115" t="s">
        <v>80</v>
      </c>
      <c r="I115">
        <v>32568</v>
      </c>
      <c r="J115" s="2">
        <v>40689</v>
      </c>
      <c r="K115" t="s">
        <v>82</v>
      </c>
      <c r="L115" t="s">
        <v>83</v>
      </c>
      <c r="M115" s="2">
        <v>29645</v>
      </c>
      <c r="N115" t="s">
        <v>98</v>
      </c>
      <c r="O115">
        <v>12193</v>
      </c>
      <c r="P115">
        <v>16173</v>
      </c>
      <c r="Q115">
        <v>5282</v>
      </c>
      <c r="R115">
        <v>0.9</v>
      </c>
      <c r="S115" s="4">
        <v>2.3063397865535027</v>
      </c>
      <c r="T115" s="4">
        <v>6.5707555654168956</v>
      </c>
      <c r="U115">
        <v>91.952054676994663</v>
      </c>
      <c r="V115">
        <v>4</v>
      </c>
      <c r="W115">
        <v>258</v>
      </c>
      <c r="X115">
        <v>5</v>
      </c>
      <c r="Y115">
        <v>1</v>
      </c>
      <c r="Z115">
        <v>0</v>
      </c>
    </row>
    <row r="116" spans="1:26" x14ac:dyDescent="0.25">
      <c r="A116" t="s">
        <v>16</v>
      </c>
      <c r="B116">
        <v>7798</v>
      </c>
      <c r="C116" t="s">
        <v>41</v>
      </c>
      <c r="D116" t="s">
        <v>61</v>
      </c>
      <c r="F116" t="s">
        <v>66</v>
      </c>
      <c r="G116" t="s">
        <v>76</v>
      </c>
      <c r="H116" t="s">
        <v>80</v>
      </c>
      <c r="I116">
        <v>32568</v>
      </c>
      <c r="J116" s="2">
        <v>40689</v>
      </c>
      <c r="K116" t="s">
        <v>82</v>
      </c>
      <c r="L116" t="s">
        <v>83</v>
      </c>
      <c r="M116" s="2">
        <v>29645</v>
      </c>
      <c r="N116" t="s">
        <v>91</v>
      </c>
      <c r="O116">
        <v>6741</v>
      </c>
      <c r="P116">
        <v>7277</v>
      </c>
      <c r="Q116">
        <v>5787</v>
      </c>
      <c r="R116">
        <v>0.84</v>
      </c>
      <c r="S116" s="4">
        <v>4.5344997368005817</v>
      </c>
      <c r="T116" s="4">
        <v>7.5341977964893472</v>
      </c>
      <c r="U116">
        <v>88.20525383345101</v>
      </c>
      <c r="V116">
        <v>5</v>
      </c>
      <c r="W116">
        <v>234</v>
      </c>
      <c r="X116">
        <v>5</v>
      </c>
      <c r="Y116">
        <v>1</v>
      </c>
      <c r="Z116">
        <v>0</v>
      </c>
    </row>
    <row r="117" spans="1:26" x14ac:dyDescent="0.25">
      <c r="A117" t="s">
        <v>17</v>
      </c>
      <c r="B117">
        <v>3425</v>
      </c>
      <c r="C117" t="s">
        <v>28</v>
      </c>
      <c r="D117" t="s">
        <v>55</v>
      </c>
      <c r="E117">
        <v>2</v>
      </c>
      <c r="F117" t="s">
        <v>67</v>
      </c>
      <c r="G117" t="s">
        <v>76</v>
      </c>
      <c r="H117" t="s">
        <v>79</v>
      </c>
      <c r="I117">
        <v>17197</v>
      </c>
      <c r="J117" s="2">
        <v>41003</v>
      </c>
      <c r="K117" t="s">
        <v>82</v>
      </c>
      <c r="L117" t="s">
        <v>83</v>
      </c>
      <c r="M117" s="2">
        <v>27422</v>
      </c>
      <c r="N117" t="s">
        <v>95</v>
      </c>
      <c r="O117">
        <v>11367</v>
      </c>
      <c r="P117">
        <v>7327</v>
      </c>
      <c r="Q117">
        <v>5040</v>
      </c>
      <c r="R117">
        <v>0.37</v>
      </c>
      <c r="S117" s="4">
        <v>3.5579643475843614</v>
      </c>
      <c r="T117" s="4">
        <v>9.5805295429779491</v>
      </c>
      <c r="U117">
        <v>97.361211930196035</v>
      </c>
      <c r="V117">
        <v>2</v>
      </c>
      <c r="W117">
        <v>137</v>
      </c>
      <c r="X117">
        <v>3</v>
      </c>
      <c r="Y117">
        <v>1</v>
      </c>
      <c r="Z117">
        <v>0</v>
      </c>
    </row>
    <row r="118" spans="1:26" x14ac:dyDescent="0.25">
      <c r="A118" t="s">
        <v>17</v>
      </c>
      <c r="B118">
        <v>5815</v>
      </c>
      <c r="C118" t="s">
        <v>31</v>
      </c>
      <c r="D118" t="s">
        <v>55</v>
      </c>
      <c r="E118">
        <v>1</v>
      </c>
      <c r="F118" t="s">
        <v>68</v>
      </c>
      <c r="G118" t="s">
        <v>76</v>
      </c>
      <c r="H118" t="s">
        <v>79</v>
      </c>
      <c r="I118">
        <v>17112</v>
      </c>
      <c r="J118" s="2">
        <v>41003</v>
      </c>
      <c r="K118" t="s">
        <v>82</v>
      </c>
      <c r="L118" t="s">
        <v>83</v>
      </c>
      <c r="M118" s="2">
        <v>29298</v>
      </c>
      <c r="N118" t="s">
        <v>93</v>
      </c>
      <c r="O118">
        <v>9239</v>
      </c>
      <c r="P118">
        <v>14676</v>
      </c>
      <c r="Q118">
        <v>5084</v>
      </c>
      <c r="R118">
        <v>0.86</v>
      </c>
      <c r="S118" s="4">
        <v>2.2964281117531828</v>
      </c>
      <c r="T118" s="4">
        <v>5.072389198964375</v>
      </c>
      <c r="U118">
        <v>98.800854530169701</v>
      </c>
      <c r="V118">
        <v>5</v>
      </c>
      <c r="W118">
        <v>263</v>
      </c>
      <c r="X118">
        <v>2</v>
      </c>
      <c r="Y118">
        <v>1</v>
      </c>
      <c r="Z118">
        <v>0</v>
      </c>
    </row>
    <row r="119" spans="1:26" x14ac:dyDescent="0.25">
      <c r="A119" t="s">
        <v>14</v>
      </c>
      <c r="B119">
        <v>2094</v>
      </c>
      <c r="C119" t="s">
        <v>33</v>
      </c>
      <c r="D119" t="s">
        <v>56</v>
      </c>
      <c r="E119">
        <v>3</v>
      </c>
      <c r="F119" t="s">
        <v>65</v>
      </c>
      <c r="G119" t="s">
        <v>76</v>
      </c>
      <c r="H119" t="s">
        <v>78</v>
      </c>
      <c r="I119">
        <v>13019</v>
      </c>
      <c r="J119" s="2">
        <v>41814</v>
      </c>
      <c r="K119" t="s">
        <v>81</v>
      </c>
      <c r="L119" t="s">
        <v>83</v>
      </c>
      <c r="M119" s="2">
        <v>29690</v>
      </c>
      <c r="N119" t="s">
        <v>95</v>
      </c>
      <c r="O119">
        <v>7546</v>
      </c>
      <c r="P119">
        <v>6056</v>
      </c>
      <c r="Q119">
        <v>5119</v>
      </c>
      <c r="R119">
        <v>0.11</v>
      </c>
      <c r="S119" s="4">
        <v>4.0126244946888114</v>
      </c>
      <c r="T119" s="4">
        <v>5.980966657956035</v>
      </c>
      <c r="U119">
        <v>84.178483683324487</v>
      </c>
      <c r="V119">
        <v>6</v>
      </c>
      <c r="W119">
        <v>251</v>
      </c>
      <c r="X119">
        <v>4</v>
      </c>
      <c r="Y119">
        <v>1</v>
      </c>
      <c r="Z119">
        <v>0</v>
      </c>
    </row>
    <row r="120" spans="1:26" x14ac:dyDescent="0.25">
      <c r="A120" t="s">
        <v>14</v>
      </c>
      <c r="B120">
        <v>7920</v>
      </c>
      <c r="C120" t="s">
        <v>47</v>
      </c>
      <c r="D120" t="s">
        <v>50</v>
      </c>
      <c r="E120">
        <v>3</v>
      </c>
      <c r="F120" t="s">
        <v>65</v>
      </c>
      <c r="G120" t="s">
        <v>76</v>
      </c>
      <c r="H120" t="s">
        <v>78</v>
      </c>
      <c r="I120">
        <v>14047</v>
      </c>
      <c r="J120" s="2">
        <v>41814</v>
      </c>
      <c r="K120" t="s">
        <v>81</v>
      </c>
      <c r="L120" t="s">
        <v>83</v>
      </c>
      <c r="M120" s="2">
        <v>27688</v>
      </c>
      <c r="N120" t="s">
        <v>94</v>
      </c>
      <c r="O120">
        <v>11269</v>
      </c>
      <c r="P120">
        <v>6012</v>
      </c>
      <c r="Q120">
        <v>5864</v>
      </c>
      <c r="R120">
        <v>0.37</v>
      </c>
      <c r="S120" s="4">
        <v>4.1718958080010804</v>
      </c>
      <c r="T120" s="4">
        <v>5.2976001080518325</v>
      </c>
      <c r="U120">
        <v>83.177730156930693</v>
      </c>
      <c r="V120">
        <v>2</v>
      </c>
      <c r="W120">
        <v>133</v>
      </c>
      <c r="X120">
        <v>3</v>
      </c>
      <c r="Y120">
        <v>1</v>
      </c>
      <c r="Z120">
        <v>0</v>
      </c>
    </row>
    <row r="121" spans="1:26" x14ac:dyDescent="0.25">
      <c r="A121" t="s">
        <v>13</v>
      </c>
      <c r="B121">
        <v>2434</v>
      </c>
      <c r="C121" t="s">
        <v>48</v>
      </c>
      <c r="D121" t="s">
        <v>56</v>
      </c>
      <c r="E121">
        <v>5</v>
      </c>
      <c r="F121" t="s">
        <v>70</v>
      </c>
      <c r="G121" t="s">
        <v>75</v>
      </c>
      <c r="H121" t="s">
        <v>77</v>
      </c>
      <c r="I121">
        <v>13886</v>
      </c>
      <c r="J121" s="2">
        <v>43175</v>
      </c>
      <c r="K121" t="s">
        <v>81</v>
      </c>
      <c r="L121" t="s">
        <v>83</v>
      </c>
      <c r="M121" s="2">
        <v>29833</v>
      </c>
      <c r="N121" t="s">
        <v>87</v>
      </c>
      <c r="O121">
        <v>17945</v>
      </c>
      <c r="P121">
        <v>13264</v>
      </c>
      <c r="Q121">
        <v>5175</v>
      </c>
      <c r="R121">
        <v>0.4</v>
      </c>
      <c r="S121" s="4">
        <v>1.6597546978538968</v>
      </c>
      <c r="T121" s="4">
        <v>9.9325122607943275</v>
      </c>
      <c r="U121">
        <v>93.399681583637815</v>
      </c>
      <c r="V121">
        <v>2</v>
      </c>
      <c r="W121">
        <v>132</v>
      </c>
      <c r="X121">
        <v>3</v>
      </c>
      <c r="Y121">
        <v>1</v>
      </c>
      <c r="Z121">
        <v>0</v>
      </c>
    </row>
    <row r="122" spans="1:26" x14ac:dyDescent="0.25">
      <c r="A122" t="s">
        <v>15</v>
      </c>
      <c r="B122">
        <v>2328</v>
      </c>
      <c r="C122" t="s">
        <v>25</v>
      </c>
      <c r="D122" t="s">
        <v>56</v>
      </c>
      <c r="E122">
        <v>2</v>
      </c>
      <c r="F122" t="s">
        <v>65</v>
      </c>
      <c r="G122" t="s">
        <v>76</v>
      </c>
      <c r="H122" t="s">
        <v>78</v>
      </c>
      <c r="I122">
        <v>7634</v>
      </c>
      <c r="J122" s="2">
        <v>40483</v>
      </c>
      <c r="K122" t="s">
        <v>81</v>
      </c>
      <c r="L122" t="s">
        <v>83</v>
      </c>
      <c r="M122" s="2">
        <v>27590</v>
      </c>
      <c r="N122" t="s">
        <v>87</v>
      </c>
      <c r="O122">
        <v>17734</v>
      </c>
      <c r="P122">
        <v>11397</v>
      </c>
      <c r="Q122">
        <v>5316</v>
      </c>
      <c r="R122">
        <v>0.14000000000000001</v>
      </c>
      <c r="S122" s="4">
        <v>2.0841514422659255</v>
      </c>
      <c r="T122" s="4">
        <v>9.1457484614042706</v>
      </c>
      <c r="U122">
        <v>82.413936453387393</v>
      </c>
      <c r="V122">
        <v>4</v>
      </c>
      <c r="W122">
        <v>158</v>
      </c>
      <c r="X122">
        <v>4</v>
      </c>
      <c r="Y122">
        <v>1</v>
      </c>
      <c r="Z122">
        <v>0</v>
      </c>
    </row>
    <row r="123" spans="1:26" x14ac:dyDescent="0.25">
      <c r="A123" t="s">
        <v>16</v>
      </c>
      <c r="B123">
        <v>6032</v>
      </c>
      <c r="C123" t="s">
        <v>41</v>
      </c>
      <c r="D123" t="s">
        <v>61</v>
      </c>
      <c r="F123" t="s">
        <v>66</v>
      </c>
      <c r="G123" t="s">
        <v>76</v>
      </c>
      <c r="H123" t="s">
        <v>80</v>
      </c>
      <c r="I123">
        <v>32568</v>
      </c>
      <c r="J123" s="2">
        <v>40689</v>
      </c>
      <c r="K123" t="s">
        <v>82</v>
      </c>
      <c r="L123" t="s">
        <v>83</v>
      </c>
      <c r="M123" s="2">
        <v>29645</v>
      </c>
      <c r="N123" t="s">
        <v>91</v>
      </c>
      <c r="O123">
        <v>11276</v>
      </c>
      <c r="P123">
        <v>17735</v>
      </c>
      <c r="Q123">
        <v>5445</v>
      </c>
      <c r="R123">
        <v>0.4</v>
      </c>
      <c r="S123" s="4">
        <v>3.6239109325466417</v>
      </c>
      <c r="T123" s="4">
        <v>8.5222424303710653</v>
      </c>
      <c r="U123">
        <v>89.342042310644501</v>
      </c>
      <c r="V123">
        <v>2</v>
      </c>
      <c r="W123">
        <v>135</v>
      </c>
      <c r="X123">
        <v>3</v>
      </c>
      <c r="Y123">
        <v>1</v>
      </c>
      <c r="Z123">
        <v>0</v>
      </c>
    </row>
    <row r="124" spans="1:26" x14ac:dyDescent="0.25">
      <c r="A124" t="s">
        <v>17</v>
      </c>
      <c r="B124">
        <v>9576</v>
      </c>
      <c r="C124" t="s">
        <v>28</v>
      </c>
      <c r="D124" t="s">
        <v>55</v>
      </c>
      <c r="E124">
        <v>2</v>
      </c>
      <c r="F124" t="s">
        <v>67</v>
      </c>
      <c r="G124" t="s">
        <v>76</v>
      </c>
      <c r="H124" t="s">
        <v>79</v>
      </c>
      <c r="I124">
        <v>17197</v>
      </c>
      <c r="J124" s="2">
        <v>41003</v>
      </c>
      <c r="K124" t="s">
        <v>82</v>
      </c>
      <c r="L124" t="s">
        <v>83</v>
      </c>
      <c r="M124" s="2">
        <v>27422</v>
      </c>
      <c r="N124" t="s">
        <v>95</v>
      </c>
      <c r="O124">
        <v>5344</v>
      </c>
      <c r="P124">
        <v>11537</v>
      </c>
      <c r="Q124">
        <v>5663</v>
      </c>
      <c r="R124">
        <v>0.75</v>
      </c>
      <c r="S124" s="4">
        <v>2.7247448336672879</v>
      </c>
      <c r="T124" s="4">
        <v>9.3805510075659519</v>
      </c>
      <c r="U124">
        <v>90.100567300465926</v>
      </c>
      <c r="V124">
        <v>4</v>
      </c>
      <c r="W124">
        <v>216</v>
      </c>
      <c r="X124">
        <v>6</v>
      </c>
      <c r="Y124">
        <v>1</v>
      </c>
      <c r="Z124">
        <v>0</v>
      </c>
    </row>
    <row r="125" spans="1:26" x14ac:dyDescent="0.25">
      <c r="A125" t="s">
        <v>14</v>
      </c>
      <c r="B125">
        <v>8245</v>
      </c>
      <c r="C125" t="s">
        <v>47</v>
      </c>
      <c r="D125" t="s">
        <v>50</v>
      </c>
      <c r="E125">
        <v>3</v>
      </c>
      <c r="F125" t="s">
        <v>65</v>
      </c>
      <c r="G125" t="s">
        <v>76</v>
      </c>
      <c r="H125" t="s">
        <v>78</v>
      </c>
      <c r="I125">
        <v>14047</v>
      </c>
      <c r="J125" s="2">
        <v>41814</v>
      </c>
      <c r="K125" t="s">
        <v>81</v>
      </c>
      <c r="L125" t="s">
        <v>83</v>
      </c>
      <c r="M125" s="2">
        <v>27515</v>
      </c>
      <c r="N125" t="s">
        <v>100</v>
      </c>
      <c r="O125">
        <v>5327</v>
      </c>
      <c r="P125">
        <v>5833</v>
      </c>
      <c r="Q125">
        <v>5352</v>
      </c>
      <c r="R125">
        <v>0.11</v>
      </c>
      <c r="S125" s="4">
        <v>1.7008186688005749</v>
      </c>
      <c r="T125" s="4">
        <v>7.1041801929195838</v>
      </c>
      <c r="U125">
        <v>96.466444570435911</v>
      </c>
      <c r="V125">
        <v>6</v>
      </c>
      <c r="W125">
        <v>300</v>
      </c>
      <c r="X125">
        <v>5</v>
      </c>
      <c r="Y125">
        <v>1</v>
      </c>
      <c r="Z125">
        <v>0</v>
      </c>
    </row>
    <row r="126" spans="1:26" x14ac:dyDescent="0.25">
      <c r="A126" t="s">
        <v>13</v>
      </c>
      <c r="B126">
        <v>9740</v>
      </c>
      <c r="C126" t="s">
        <v>35</v>
      </c>
      <c r="D126" t="s">
        <v>56</v>
      </c>
      <c r="E126">
        <v>5</v>
      </c>
      <c r="F126" t="s">
        <v>70</v>
      </c>
      <c r="G126" t="s">
        <v>75</v>
      </c>
      <c r="H126" t="s">
        <v>77</v>
      </c>
      <c r="I126">
        <v>13886</v>
      </c>
      <c r="J126" s="2">
        <v>43175</v>
      </c>
      <c r="K126" t="s">
        <v>81</v>
      </c>
      <c r="L126" t="s">
        <v>83</v>
      </c>
      <c r="M126" s="2">
        <v>27861</v>
      </c>
      <c r="N126" t="s">
        <v>93</v>
      </c>
      <c r="O126">
        <v>6127</v>
      </c>
      <c r="P126">
        <v>7517</v>
      </c>
      <c r="Q126">
        <v>5303</v>
      </c>
      <c r="R126">
        <v>0.46</v>
      </c>
      <c r="S126" s="4">
        <v>3.7393200641710225</v>
      </c>
      <c r="T126" s="4">
        <v>6.5357666279675577</v>
      </c>
      <c r="U126">
        <v>86.962502652693104</v>
      </c>
      <c r="V126">
        <v>2</v>
      </c>
      <c r="W126">
        <v>138</v>
      </c>
      <c r="X126">
        <v>3</v>
      </c>
      <c r="Y126">
        <v>1</v>
      </c>
      <c r="Z126">
        <v>0</v>
      </c>
    </row>
    <row r="127" spans="1:26" x14ac:dyDescent="0.25">
      <c r="A127" t="s">
        <v>15</v>
      </c>
      <c r="B127">
        <v>6543</v>
      </c>
      <c r="C127" t="s">
        <v>25</v>
      </c>
      <c r="D127" t="s">
        <v>56</v>
      </c>
      <c r="E127">
        <v>2</v>
      </c>
      <c r="F127" t="s">
        <v>65</v>
      </c>
      <c r="G127" t="s">
        <v>76</v>
      </c>
      <c r="H127" t="s">
        <v>78</v>
      </c>
      <c r="I127">
        <v>7634</v>
      </c>
      <c r="J127" s="2">
        <v>40483</v>
      </c>
      <c r="K127" t="s">
        <v>81</v>
      </c>
      <c r="L127" t="s">
        <v>83</v>
      </c>
      <c r="M127" s="2">
        <v>30217</v>
      </c>
      <c r="N127" t="s">
        <v>100</v>
      </c>
      <c r="O127">
        <v>19098</v>
      </c>
      <c r="P127">
        <v>14840</v>
      </c>
      <c r="Q127">
        <v>5417</v>
      </c>
      <c r="R127">
        <v>0.11</v>
      </c>
      <c r="S127" s="4">
        <v>4.537412850211707</v>
      </c>
      <c r="T127" s="4">
        <v>9.9830729179791859</v>
      </c>
      <c r="U127">
        <v>89.663250067471637</v>
      </c>
      <c r="V127">
        <v>6</v>
      </c>
      <c r="W127">
        <v>260</v>
      </c>
      <c r="X127">
        <v>4</v>
      </c>
      <c r="Y127">
        <v>1</v>
      </c>
      <c r="Z127">
        <v>0</v>
      </c>
    </row>
    <row r="128" spans="1:26" x14ac:dyDescent="0.25">
      <c r="A128" t="s">
        <v>16</v>
      </c>
      <c r="B128">
        <v>5478</v>
      </c>
      <c r="C128" t="s">
        <v>41</v>
      </c>
      <c r="D128" t="s">
        <v>61</v>
      </c>
      <c r="F128" t="s">
        <v>66</v>
      </c>
      <c r="G128" t="s">
        <v>76</v>
      </c>
      <c r="H128" t="s">
        <v>80</v>
      </c>
      <c r="I128">
        <v>32568</v>
      </c>
      <c r="J128" s="2">
        <v>40689</v>
      </c>
      <c r="K128" t="s">
        <v>82</v>
      </c>
      <c r="L128" t="s">
        <v>83</v>
      </c>
      <c r="M128" s="2">
        <v>29645</v>
      </c>
      <c r="N128" t="s">
        <v>100</v>
      </c>
      <c r="O128">
        <v>11353</v>
      </c>
      <c r="P128">
        <v>3487</v>
      </c>
      <c r="Q128">
        <v>5008</v>
      </c>
      <c r="R128">
        <v>0.38</v>
      </c>
      <c r="S128" s="4">
        <v>4.3869333381133293</v>
      </c>
      <c r="T128" s="4">
        <v>8.2754146931781136</v>
      </c>
      <c r="U128">
        <v>97.005400452623434</v>
      </c>
      <c r="V128">
        <v>2</v>
      </c>
      <c r="W128">
        <v>132</v>
      </c>
      <c r="X128">
        <v>3</v>
      </c>
      <c r="Y128">
        <v>1</v>
      </c>
      <c r="Z128">
        <v>0</v>
      </c>
    </row>
    <row r="129" spans="1:26" x14ac:dyDescent="0.25">
      <c r="A129" t="s">
        <v>17</v>
      </c>
      <c r="B129">
        <v>7450</v>
      </c>
      <c r="C129" t="s">
        <v>31</v>
      </c>
      <c r="D129" t="s">
        <v>55</v>
      </c>
      <c r="E129">
        <v>1</v>
      </c>
      <c r="F129" t="s">
        <v>68</v>
      </c>
      <c r="G129" t="s">
        <v>76</v>
      </c>
      <c r="H129" t="s">
        <v>79</v>
      </c>
      <c r="I129">
        <v>17112</v>
      </c>
      <c r="J129" s="2">
        <v>41003</v>
      </c>
      <c r="K129" t="s">
        <v>82</v>
      </c>
      <c r="L129" t="s">
        <v>83</v>
      </c>
      <c r="M129" s="2">
        <v>29298</v>
      </c>
      <c r="N129" t="s">
        <v>95</v>
      </c>
      <c r="O129">
        <v>12316</v>
      </c>
      <c r="P129">
        <v>14280</v>
      </c>
      <c r="Q129">
        <v>5223</v>
      </c>
      <c r="R129">
        <v>0.7</v>
      </c>
      <c r="S129" s="4">
        <v>3.4543598964079152</v>
      </c>
      <c r="T129" s="4">
        <v>9.7927374356164023</v>
      </c>
      <c r="U129">
        <v>94.988197243827614</v>
      </c>
      <c r="V129">
        <v>3</v>
      </c>
      <c r="W129">
        <v>183</v>
      </c>
      <c r="X129">
        <v>5</v>
      </c>
      <c r="Y129">
        <v>1</v>
      </c>
      <c r="Z129">
        <v>0</v>
      </c>
    </row>
    <row r="130" spans="1:26" x14ac:dyDescent="0.25">
      <c r="A130" t="s">
        <v>14</v>
      </c>
      <c r="B130">
        <v>6800</v>
      </c>
      <c r="C130" t="s">
        <v>47</v>
      </c>
      <c r="D130" t="s">
        <v>50</v>
      </c>
      <c r="E130">
        <v>3</v>
      </c>
      <c r="F130" t="s">
        <v>65</v>
      </c>
      <c r="G130" t="s">
        <v>76</v>
      </c>
      <c r="H130" t="s">
        <v>78</v>
      </c>
      <c r="I130">
        <v>15529</v>
      </c>
      <c r="J130" s="2">
        <v>41814</v>
      </c>
      <c r="K130" t="s">
        <v>81</v>
      </c>
      <c r="L130" t="s">
        <v>83</v>
      </c>
      <c r="M130" s="2">
        <v>29440</v>
      </c>
      <c r="N130" t="s">
        <v>98</v>
      </c>
      <c r="O130">
        <v>7379</v>
      </c>
      <c r="P130">
        <v>12150</v>
      </c>
      <c r="Q130">
        <v>5587</v>
      </c>
      <c r="R130">
        <v>0.09</v>
      </c>
      <c r="S130" s="4">
        <v>4.3284791743918785</v>
      </c>
      <c r="T130" s="4">
        <v>8.7736219623868816</v>
      </c>
      <c r="U130">
        <v>92.747152282322759</v>
      </c>
      <c r="V130">
        <v>6</v>
      </c>
      <c r="W130">
        <v>250</v>
      </c>
      <c r="X130">
        <v>4</v>
      </c>
      <c r="Y130">
        <v>1</v>
      </c>
      <c r="Z130">
        <v>0</v>
      </c>
    </row>
    <row r="131" spans="1:26" x14ac:dyDescent="0.25">
      <c r="A131" t="s">
        <v>13</v>
      </c>
      <c r="B131">
        <v>1464</v>
      </c>
      <c r="C131" t="s">
        <v>18</v>
      </c>
      <c r="D131" t="s">
        <v>59</v>
      </c>
      <c r="E131">
        <v>3</v>
      </c>
      <c r="F131" t="s">
        <v>71</v>
      </c>
      <c r="G131" t="s">
        <v>75</v>
      </c>
      <c r="H131" t="s">
        <v>77</v>
      </c>
      <c r="I131">
        <v>11881</v>
      </c>
      <c r="J131" s="2">
        <v>43175</v>
      </c>
      <c r="K131" t="s">
        <v>71</v>
      </c>
      <c r="L131" t="s">
        <v>83</v>
      </c>
      <c r="M131" s="2">
        <v>26667</v>
      </c>
      <c r="N131" t="s">
        <v>87</v>
      </c>
      <c r="O131">
        <v>16771</v>
      </c>
      <c r="P131">
        <v>6605</v>
      </c>
      <c r="Q131">
        <v>5646</v>
      </c>
      <c r="R131">
        <v>0.37</v>
      </c>
      <c r="S131" s="4">
        <v>1.2682786601931033</v>
      </c>
      <c r="T131" s="4">
        <v>9.727376198679984</v>
      </c>
      <c r="U131">
        <v>86.663631706422876</v>
      </c>
      <c r="V131">
        <v>2</v>
      </c>
      <c r="W131">
        <v>151</v>
      </c>
      <c r="X131">
        <v>3</v>
      </c>
      <c r="Y131">
        <v>1</v>
      </c>
      <c r="Z131">
        <v>0</v>
      </c>
    </row>
    <row r="132" spans="1:26" x14ac:dyDescent="0.25">
      <c r="A132" t="s">
        <v>15</v>
      </c>
      <c r="B132">
        <v>7372</v>
      </c>
      <c r="C132" t="s">
        <v>25</v>
      </c>
      <c r="D132" t="s">
        <v>56</v>
      </c>
      <c r="E132">
        <v>2</v>
      </c>
      <c r="F132" t="s">
        <v>65</v>
      </c>
      <c r="G132" t="s">
        <v>76</v>
      </c>
      <c r="H132" t="s">
        <v>78</v>
      </c>
      <c r="I132">
        <v>7634</v>
      </c>
      <c r="J132" s="2">
        <v>40483</v>
      </c>
      <c r="K132" t="s">
        <v>81</v>
      </c>
      <c r="L132" t="s">
        <v>83</v>
      </c>
      <c r="M132" s="2">
        <v>21959</v>
      </c>
      <c r="N132" t="s">
        <v>89</v>
      </c>
      <c r="O132">
        <v>15973</v>
      </c>
      <c r="P132">
        <v>4817</v>
      </c>
      <c r="Q132">
        <v>5957</v>
      </c>
      <c r="R132">
        <v>0.1</v>
      </c>
      <c r="S132" s="4">
        <v>3.7467570956120566</v>
      </c>
      <c r="T132" s="4">
        <v>5.0253789074856119</v>
      </c>
      <c r="U132">
        <v>80.605250446840301</v>
      </c>
      <c r="V132">
        <v>6</v>
      </c>
      <c r="W132">
        <v>292</v>
      </c>
      <c r="X132">
        <v>4</v>
      </c>
      <c r="Y132">
        <v>1</v>
      </c>
      <c r="Z132">
        <v>0</v>
      </c>
    </row>
    <row r="133" spans="1:26" x14ac:dyDescent="0.25">
      <c r="A133" t="s">
        <v>16</v>
      </c>
      <c r="B133">
        <v>8824</v>
      </c>
      <c r="C133" t="s">
        <v>41</v>
      </c>
      <c r="D133" t="s">
        <v>61</v>
      </c>
      <c r="F133" t="s">
        <v>66</v>
      </c>
      <c r="G133" t="s">
        <v>76</v>
      </c>
      <c r="H133" t="s">
        <v>80</v>
      </c>
      <c r="I133">
        <v>32568</v>
      </c>
      <c r="J133" s="2">
        <v>40689</v>
      </c>
      <c r="K133" t="s">
        <v>82</v>
      </c>
      <c r="L133" t="s">
        <v>83</v>
      </c>
      <c r="M133" s="2">
        <v>29645</v>
      </c>
      <c r="N133" t="s">
        <v>96</v>
      </c>
      <c r="O133">
        <v>6377</v>
      </c>
      <c r="P133">
        <v>10741</v>
      </c>
      <c r="Q133">
        <v>5916</v>
      </c>
      <c r="R133">
        <v>0.38</v>
      </c>
      <c r="S133" s="4">
        <v>4.1037434182992056</v>
      </c>
      <c r="T133" s="4">
        <v>6.4003265073765725</v>
      </c>
      <c r="U133">
        <v>82.607648817568901</v>
      </c>
      <c r="V133">
        <v>2</v>
      </c>
      <c r="W133">
        <v>140</v>
      </c>
      <c r="X133">
        <v>3</v>
      </c>
      <c r="Y133">
        <v>1</v>
      </c>
      <c r="Z133">
        <v>0</v>
      </c>
    </row>
    <row r="134" spans="1:26" x14ac:dyDescent="0.25">
      <c r="A134" t="s">
        <v>17</v>
      </c>
      <c r="B134">
        <v>6426</v>
      </c>
      <c r="C134" t="s">
        <v>28</v>
      </c>
      <c r="D134" t="s">
        <v>55</v>
      </c>
      <c r="E134">
        <v>2</v>
      </c>
      <c r="F134" t="s">
        <v>67</v>
      </c>
      <c r="G134" t="s">
        <v>76</v>
      </c>
      <c r="H134" t="s">
        <v>79</v>
      </c>
      <c r="I134">
        <v>17197</v>
      </c>
      <c r="J134" s="2">
        <v>41003</v>
      </c>
      <c r="K134" t="s">
        <v>82</v>
      </c>
      <c r="L134" t="s">
        <v>83</v>
      </c>
      <c r="M134" s="2">
        <v>27422</v>
      </c>
      <c r="N134" t="s">
        <v>100</v>
      </c>
      <c r="O134">
        <v>6459</v>
      </c>
      <c r="P134">
        <v>11805</v>
      </c>
      <c r="Q134">
        <v>5216</v>
      </c>
      <c r="R134">
        <v>0.9</v>
      </c>
      <c r="S134" s="4">
        <v>2.4161741103397065</v>
      </c>
      <c r="T134" s="4">
        <v>9.6676608949066498</v>
      </c>
      <c r="U134">
        <v>91.875157686347379</v>
      </c>
      <c r="V134">
        <v>5</v>
      </c>
      <c r="W134">
        <v>221</v>
      </c>
      <c r="X134">
        <v>5</v>
      </c>
      <c r="Y134">
        <v>1</v>
      </c>
      <c r="Z134">
        <v>0</v>
      </c>
    </row>
    <row r="135" spans="1:26" x14ac:dyDescent="0.25">
      <c r="A135" t="s">
        <v>14</v>
      </c>
      <c r="B135">
        <v>7466</v>
      </c>
      <c r="C135" t="s">
        <v>33</v>
      </c>
      <c r="D135" t="s">
        <v>56</v>
      </c>
      <c r="E135">
        <v>3</v>
      </c>
      <c r="F135" t="s">
        <v>65</v>
      </c>
      <c r="G135" t="s">
        <v>76</v>
      </c>
      <c r="H135" t="s">
        <v>78</v>
      </c>
      <c r="I135">
        <v>13019</v>
      </c>
      <c r="J135" s="2">
        <v>41814</v>
      </c>
      <c r="K135" t="s">
        <v>81</v>
      </c>
      <c r="L135" t="s">
        <v>83</v>
      </c>
      <c r="M135" s="2">
        <v>30933</v>
      </c>
      <c r="N135" t="s">
        <v>88</v>
      </c>
      <c r="O135">
        <v>8176</v>
      </c>
      <c r="P135">
        <v>13324</v>
      </c>
      <c r="Q135">
        <v>5723</v>
      </c>
      <c r="R135">
        <v>0.44</v>
      </c>
      <c r="S135" s="4">
        <v>3.5552705746384734</v>
      </c>
      <c r="T135" s="4">
        <v>9.3238770627235397</v>
      </c>
      <c r="U135">
        <v>85.092499579756634</v>
      </c>
      <c r="V135">
        <v>2</v>
      </c>
      <c r="W135">
        <v>138</v>
      </c>
      <c r="X135">
        <v>3</v>
      </c>
      <c r="Y135">
        <v>1</v>
      </c>
      <c r="Z135">
        <v>0</v>
      </c>
    </row>
    <row r="136" spans="1:26" x14ac:dyDescent="0.25">
      <c r="A136" t="s">
        <v>13</v>
      </c>
      <c r="B136">
        <v>4140</v>
      </c>
      <c r="C136" t="s">
        <v>18</v>
      </c>
      <c r="D136" t="s">
        <v>59</v>
      </c>
      <c r="E136">
        <v>1</v>
      </c>
      <c r="F136" t="s">
        <v>71</v>
      </c>
      <c r="G136" t="s">
        <v>75</v>
      </c>
      <c r="H136" t="s">
        <v>77</v>
      </c>
      <c r="I136">
        <v>11726</v>
      </c>
      <c r="J136" s="2">
        <v>43175</v>
      </c>
      <c r="K136" t="s">
        <v>71</v>
      </c>
      <c r="L136" t="s">
        <v>83</v>
      </c>
      <c r="M136" s="2">
        <v>26805</v>
      </c>
      <c r="N136" t="s">
        <v>93</v>
      </c>
      <c r="O136">
        <v>13250</v>
      </c>
      <c r="P136">
        <v>15467</v>
      </c>
      <c r="Q136">
        <v>5137</v>
      </c>
      <c r="R136">
        <v>0.36</v>
      </c>
      <c r="S136" s="4">
        <v>3.0532138750136131</v>
      </c>
      <c r="T136" s="4">
        <v>7.1039220342421423</v>
      </c>
      <c r="U136">
        <v>88.965412217667932</v>
      </c>
      <c r="V136">
        <v>2</v>
      </c>
      <c r="W136">
        <v>132</v>
      </c>
      <c r="X136">
        <v>3</v>
      </c>
      <c r="Y136">
        <v>1</v>
      </c>
      <c r="Z136">
        <v>0</v>
      </c>
    </row>
    <row r="137" spans="1:26" x14ac:dyDescent="0.25">
      <c r="A137" t="s">
        <v>15</v>
      </c>
      <c r="B137">
        <v>7351</v>
      </c>
      <c r="C137" t="s">
        <v>25</v>
      </c>
      <c r="D137" t="s">
        <v>56</v>
      </c>
      <c r="E137">
        <v>2</v>
      </c>
      <c r="F137" t="s">
        <v>65</v>
      </c>
      <c r="G137" t="s">
        <v>76</v>
      </c>
      <c r="H137" t="s">
        <v>78</v>
      </c>
      <c r="I137">
        <v>7634</v>
      </c>
      <c r="J137" s="2">
        <v>40483</v>
      </c>
      <c r="K137" t="s">
        <v>81</v>
      </c>
      <c r="L137" t="s">
        <v>83</v>
      </c>
      <c r="M137" s="2">
        <v>30889</v>
      </c>
      <c r="N137" t="s">
        <v>86</v>
      </c>
      <c r="O137">
        <v>12313</v>
      </c>
      <c r="P137">
        <v>8693</v>
      </c>
      <c r="Q137">
        <v>5508</v>
      </c>
      <c r="R137">
        <v>0.31</v>
      </c>
      <c r="S137" s="4">
        <v>1.8015420425188458</v>
      </c>
      <c r="T137" s="4">
        <v>9.9022777533178914</v>
      </c>
      <c r="U137">
        <v>91.061035892397769</v>
      </c>
      <c r="V137">
        <v>7</v>
      </c>
      <c r="W137">
        <v>133</v>
      </c>
      <c r="X137">
        <v>5</v>
      </c>
      <c r="Y137">
        <v>1</v>
      </c>
      <c r="Z137">
        <v>0</v>
      </c>
    </row>
    <row r="138" spans="1:26" x14ac:dyDescent="0.25">
      <c r="A138" t="s">
        <v>16</v>
      </c>
      <c r="B138">
        <v>6961</v>
      </c>
      <c r="C138" t="s">
        <v>41</v>
      </c>
      <c r="D138" t="s">
        <v>61</v>
      </c>
      <c r="F138" t="s">
        <v>66</v>
      </c>
      <c r="G138" t="s">
        <v>76</v>
      </c>
      <c r="H138" t="s">
        <v>80</v>
      </c>
      <c r="I138">
        <v>32568</v>
      </c>
      <c r="J138" s="2">
        <v>40689</v>
      </c>
      <c r="K138" t="s">
        <v>82</v>
      </c>
      <c r="L138" t="s">
        <v>83</v>
      </c>
      <c r="M138" s="2">
        <v>29645</v>
      </c>
      <c r="N138" t="s">
        <v>87</v>
      </c>
      <c r="O138">
        <v>7655</v>
      </c>
      <c r="P138">
        <v>17000</v>
      </c>
      <c r="Q138">
        <v>5388</v>
      </c>
      <c r="R138">
        <v>0.1</v>
      </c>
      <c r="S138" s="4">
        <v>2.1934549829660135</v>
      </c>
      <c r="T138" s="4">
        <v>9.6916294269663119</v>
      </c>
      <c r="U138">
        <v>96.466548297352176</v>
      </c>
      <c r="V138">
        <v>6</v>
      </c>
      <c r="W138">
        <v>283</v>
      </c>
      <c r="X138">
        <v>4</v>
      </c>
      <c r="Y138">
        <v>1</v>
      </c>
      <c r="Z138">
        <v>0</v>
      </c>
    </row>
    <row r="139" spans="1:26" x14ac:dyDescent="0.25">
      <c r="A139" t="s">
        <v>17</v>
      </c>
      <c r="B139">
        <v>5433</v>
      </c>
      <c r="C139" t="s">
        <v>31</v>
      </c>
      <c r="D139" t="s">
        <v>55</v>
      </c>
      <c r="E139">
        <v>1</v>
      </c>
      <c r="F139" t="s">
        <v>68</v>
      </c>
      <c r="G139" t="s">
        <v>76</v>
      </c>
      <c r="H139" t="s">
        <v>79</v>
      </c>
      <c r="I139">
        <v>17112</v>
      </c>
      <c r="J139" s="2">
        <v>41003</v>
      </c>
      <c r="K139" t="s">
        <v>82</v>
      </c>
      <c r="L139" t="s">
        <v>83</v>
      </c>
      <c r="M139" s="2">
        <v>29298</v>
      </c>
      <c r="N139" t="s">
        <v>85</v>
      </c>
      <c r="O139">
        <v>10232</v>
      </c>
      <c r="P139">
        <v>14162</v>
      </c>
      <c r="Q139">
        <v>5750</v>
      </c>
      <c r="R139">
        <v>0.42</v>
      </c>
      <c r="S139" s="4">
        <v>3.207991575136913</v>
      </c>
      <c r="T139" s="4">
        <v>5.2636576739056631</v>
      </c>
      <c r="U139">
        <v>89.884215083206101</v>
      </c>
      <c r="V139">
        <v>2</v>
      </c>
      <c r="W139">
        <v>129</v>
      </c>
      <c r="X139">
        <v>3</v>
      </c>
      <c r="Y139">
        <v>1</v>
      </c>
      <c r="Z139">
        <v>0</v>
      </c>
    </row>
    <row r="140" spans="1:26" x14ac:dyDescent="0.25">
      <c r="A140" t="s">
        <v>14</v>
      </c>
      <c r="B140">
        <v>3520</v>
      </c>
      <c r="C140" t="s">
        <v>49</v>
      </c>
      <c r="D140" t="s">
        <v>55</v>
      </c>
      <c r="E140">
        <v>3</v>
      </c>
      <c r="F140" t="s">
        <v>65</v>
      </c>
      <c r="G140" t="s">
        <v>76</v>
      </c>
      <c r="H140" t="s">
        <v>79</v>
      </c>
      <c r="I140">
        <v>26982</v>
      </c>
      <c r="J140" s="2">
        <v>41814</v>
      </c>
      <c r="K140" t="s">
        <v>81</v>
      </c>
      <c r="L140" t="s">
        <v>83</v>
      </c>
      <c r="M140" s="2">
        <v>29146</v>
      </c>
      <c r="N140" t="s">
        <v>91</v>
      </c>
      <c r="O140">
        <v>15423</v>
      </c>
      <c r="P140">
        <v>11515</v>
      </c>
      <c r="Q140">
        <v>5282</v>
      </c>
      <c r="R140">
        <v>0.74</v>
      </c>
      <c r="S140" s="4">
        <v>3.2881250557868622</v>
      </c>
      <c r="T140" s="4">
        <v>5.3225023885299771</v>
      </c>
      <c r="U140">
        <v>83.198395078771512</v>
      </c>
      <c r="V140">
        <v>4</v>
      </c>
      <c r="W140">
        <v>249</v>
      </c>
      <c r="X140">
        <v>5</v>
      </c>
      <c r="Y140">
        <v>1</v>
      </c>
      <c r="Z140">
        <v>0</v>
      </c>
    </row>
    <row r="141" spans="1:26" x14ac:dyDescent="0.25">
      <c r="A141" t="s">
        <v>13</v>
      </c>
      <c r="B141">
        <v>2851</v>
      </c>
      <c r="C141" t="s">
        <v>18</v>
      </c>
      <c r="D141" t="s">
        <v>52</v>
      </c>
      <c r="E141">
        <v>11</v>
      </c>
      <c r="F141" t="s">
        <v>69</v>
      </c>
      <c r="G141" t="s">
        <v>75</v>
      </c>
      <c r="H141" t="s">
        <v>77</v>
      </c>
      <c r="I141">
        <v>27756</v>
      </c>
      <c r="J141" s="2">
        <v>43175</v>
      </c>
      <c r="K141" t="s">
        <v>81</v>
      </c>
      <c r="L141" t="s">
        <v>84</v>
      </c>
      <c r="M141" s="2">
        <v>27939</v>
      </c>
      <c r="N141" t="s">
        <v>89</v>
      </c>
      <c r="O141">
        <v>15028</v>
      </c>
      <c r="P141">
        <v>16372</v>
      </c>
      <c r="Q141">
        <v>5609</v>
      </c>
      <c r="R141">
        <v>0.73</v>
      </c>
      <c r="S141" s="4">
        <v>1.3352588544909905</v>
      </c>
      <c r="T141" s="4">
        <v>9.307293752659568</v>
      </c>
      <c r="U141">
        <v>82.379797639101142</v>
      </c>
      <c r="V141">
        <v>5</v>
      </c>
      <c r="W141">
        <v>257</v>
      </c>
      <c r="X141">
        <v>5</v>
      </c>
      <c r="Y141">
        <v>1</v>
      </c>
      <c r="Z141">
        <v>0</v>
      </c>
    </row>
    <row r="142" spans="1:26" x14ac:dyDescent="0.25">
      <c r="A142" t="s">
        <v>15</v>
      </c>
      <c r="B142">
        <v>3065</v>
      </c>
      <c r="C142" t="s">
        <v>25</v>
      </c>
      <c r="D142" t="s">
        <v>56</v>
      </c>
      <c r="E142">
        <v>2</v>
      </c>
      <c r="F142" t="s">
        <v>65</v>
      </c>
      <c r="G142" t="s">
        <v>76</v>
      </c>
      <c r="H142" t="s">
        <v>78</v>
      </c>
      <c r="I142">
        <v>7634</v>
      </c>
      <c r="J142" s="2">
        <v>40483</v>
      </c>
      <c r="K142" t="s">
        <v>81</v>
      </c>
      <c r="L142" t="s">
        <v>83</v>
      </c>
      <c r="M142" s="2">
        <v>27462</v>
      </c>
      <c r="N142" t="s">
        <v>90</v>
      </c>
      <c r="O142">
        <v>17196</v>
      </c>
      <c r="P142">
        <v>9859</v>
      </c>
      <c r="Q142">
        <v>5849</v>
      </c>
      <c r="R142">
        <v>0.09</v>
      </c>
      <c r="S142" s="4">
        <v>4.8434756627877604</v>
      </c>
      <c r="T142" s="4">
        <v>9.1112476942456908</v>
      </c>
      <c r="U142">
        <v>89.823424654321968</v>
      </c>
      <c r="V142">
        <v>6</v>
      </c>
      <c r="W142">
        <v>245</v>
      </c>
      <c r="X142">
        <v>4</v>
      </c>
      <c r="Y142">
        <v>1</v>
      </c>
      <c r="Z142">
        <v>0</v>
      </c>
    </row>
    <row r="143" spans="1:26" x14ac:dyDescent="0.25">
      <c r="A143" t="s">
        <v>16</v>
      </c>
      <c r="B143">
        <v>5612</v>
      </c>
      <c r="C143" t="s">
        <v>41</v>
      </c>
      <c r="D143" t="s">
        <v>61</v>
      </c>
      <c r="F143" t="s">
        <v>66</v>
      </c>
      <c r="G143" t="s">
        <v>76</v>
      </c>
      <c r="H143" t="s">
        <v>80</v>
      </c>
      <c r="I143">
        <v>32568</v>
      </c>
      <c r="J143" s="2">
        <v>40689</v>
      </c>
      <c r="K143" t="s">
        <v>82</v>
      </c>
      <c r="L143" t="s">
        <v>83</v>
      </c>
      <c r="M143" s="2">
        <v>29645</v>
      </c>
      <c r="N143" t="s">
        <v>85</v>
      </c>
      <c r="O143">
        <v>10797</v>
      </c>
      <c r="P143">
        <v>10604</v>
      </c>
      <c r="Q143">
        <v>5584</v>
      </c>
      <c r="R143">
        <v>0.45</v>
      </c>
      <c r="S143" s="4">
        <v>4.7609093520716073</v>
      </c>
      <c r="T143" s="4">
        <v>5.1827811347624273</v>
      </c>
      <c r="U143">
        <v>85.020436696126524</v>
      </c>
      <c r="V143">
        <v>2</v>
      </c>
      <c r="W143">
        <v>155</v>
      </c>
      <c r="X143">
        <v>3</v>
      </c>
      <c r="Y143">
        <v>1</v>
      </c>
      <c r="Z143">
        <v>0</v>
      </c>
    </row>
    <row r="144" spans="1:26" x14ac:dyDescent="0.25">
      <c r="A144" t="s">
        <v>17</v>
      </c>
      <c r="B144">
        <v>5209</v>
      </c>
      <c r="C144" t="s">
        <v>28</v>
      </c>
      <c r="D144" t="s">
        <v>55</v>
      </c>
      <c r="E144">
        <v>2</v>
      </c>
      <c r="F144" t="s">
        <v>67</v>
      </c>
      <c r="G144" t="s">
        <v>76</v>
      </c>
      <c r="H144" t="s">
        <v>79</v>
      </c>
      <c r="I144">
        <v>17197</v>
      </c>
      <c r="J144" s="2">
        <v>41003</v>
      </c>
      <c r="K144" t="s">
        <v>82</v>
      </c>
      <c r="L144" t="s">
        <v>83</v>
      </c>
      <c r="M144" s="2">
        <v>27422</v>
      </c>
      <c r="N144" t="s">
        <v>98</v>
      </c>
      <c r="O144">
        <v>6974</v>
      </c>
      <c r="P144">
        <v>14265</v>
      </c>
      <c r="Q144">
        <v>5679</v>
      </c>
      <c r="R144">
        <v>0.11</v>
      </c>
      <c r="S144" s="4">
        <v>4.3239236975210957</v>
      </c>
      <c r="T144" s="4">
        <v>7.2207480957094488</v>
      </c>
      <c r="U144">
        <v>88.928665186364142</v>
      </c>
      <c r="V144">
        <v>6</v>
      </c>
      <c r="W144">
        <v>256</v>
      </c>
      <c r="X144">
        <v>4</v>
      </c>
      <c r="Y144">
        <v>1</v>
      </c>
      <c r="Z144">
        <v>0</v>
      </c>
    </row>
    <row r="145" spans="1:26" x14ac:dyDescent="0.25">
      <c r="A145" t="s">
        <v>14</v>
      </c>
      <c r="B145">
        <v>1842</v>
      </c>
      <c r="C145" t="s">
        <v>36</v>
      </c>
      <c r="D145" t="s">
        <v>59</v>
      </c>
      <c r="E145">
        <v>3</v>
      </c>
      <c r="F145" t="s">
        <v>65</v>
      </c>
      <c r="G145" t="s">
        <v>76</v>
      </c>
      <c r="H145" t="s">
        <v>78</v>
      </c>
      <c r="I145">
        <v>11315</v>
      </c>
      <c r="J145" s="2">
        <v>41814</v>
      </c>
      <c r="K145" t="s">
        <v>81</v>
      </c>
      <c r="L145" t="s">
        <v>83</v>
      </c>
      <c r="M145" s="2">
        <v>23882</v>
      </c>
      <c r="N145" t="s">
        <v>99</v>
      </c>
      <c r="O145">
        <v>14310</v>
      </c>
      <c r="P145">
        <v>7457</v>
      </c>
      <c r="Q145">
        <v>5443</v>
      </c>
      <c r="R145">
        <v>0.37</v>
      </c>
      <c r="S145" s="4">
        <v>4.3511232639129265</v>
      </c>
      <c r="T145" s="4">
        <v>5.0670846983476183</v>
      </c>
      <c r="U145">
        <v>99.119347548352764</v>
      </c>
      <c r="V145">
        <v>2</v>
      </c>
      <c r="W145">
        <v>152</v>
      </c>
      <c r="X145">
        <v>3</v>
      </c>
      <c r="Y145">
        <v>1</v>
      </c>
      <c r="Z145">
        <v>0</v>
      </c>
    </row>
    <row r="146" spans="1:26" x14ac:dyDescent="0.25">
      <c r="A146" t="s">
        <v>13</v>
      </c>
      <c r="B146">
        <v>1318</v>
      </c>
      <c r="C146" t="s">
        <v>27</v>
      </c>
      <c r="D146" t="s">
        <v>54</v>
      </c>
      <c r="E146">
        <v>5</v>
      </c>
      <c r="F146" t="s">
        <v>64</v>
      </c>
      <c r="G146" t="s">
        <v>75</v>
      </c>
      <c r="H146" t="s">
        <v>77</v>
      </c>
      <c r="I146">
        <v>38284</v>
      </c>
      <c r="J146" s="2">
        <v>43175</v>
      </c>
      <c r="K146" t="s">
        <v>81</v>
      </c>
      <c r="L146" t="s">
        <v>84</v>
      </c>
      <c r="M146" s="2">
        <v>29064</v>
      </c>
      <c r="N146" t="s">
        <v>88</v>
      </c>
      <c r="O146">
        <v>11000</v>
      </c>
      <c r="P146">
        <v>9243</v>
      </c>
      <c r="Q146">
        <v>5675</v>
      </c>
      <c r="R146">
        <v>0.84</v>
      </c>
      <c r="S146" s="4">
        <v>2.1373957322695634</v>
      </c>
      <c r="T146" s="4">
        <v>7.0919925445685355</v>
      </c>
      <c r="U146">
        <v>99.67789565720166</v>
      </c>
      <c r="V146">
        <v>4</v>
      </c>
      <c r="W146">
        <v>267</v>
      </c>
      <c r="X146">
        <v>5</v>
      </c>
      <c r="Y146">
        <v>1</v>
      </c>
      <c r="Z146">
        <v>0</v>
      </c>
    </row>
    <row r="147" spans="1:26" x14ac:dyDescent="0.25">
      <c r="A147" t="s">
        <v>15</v>
      </c>
      <c r="B147">
        <v>1608</v>
      </c>
      <c r="C147" t="s">
        <v>25</v>
      </c>
      <c r="D147" t="s">
        <v>56</v>
      </c>
      <c r="E147">
        <v>2</v>
      </c>
      <c r="F147" t="s">
        <v>65</v>
      </c>
      <c r="G147" t="s">
        <v>76</v>
      </c>
      <c r="H147" t="s">
        <v>78</v>
      </c>
      <c r="I147">
        <v>7634</v>
      </c>
      <c r="J147" s="2">
        <v>40483</v>
      </c>
      <c r="K147" t="s">
        <v>81</v>
      </c>
      <c r="L147" t="s">
        <v>83</v>
      </c>
      <c r="M147" s="2">
        <v>23701</v>
      </c>
      <c r="N147" t="s">
        <v>100</v>
      </c>
      <c r="O147">
        <v>13431</v>
      </c>
      <c r="P147">
        <v>17710</v>
      </c>
      <c r="Q147">
        <v>5532</v>
      </c>
      <c r="R147">
        <v>0.41</v>
      </c>
      <c r="S147" s="4">
        <v>4.9139629054821947</v>
      </c>
      <c r="T147" s="4">
        <v>8.0160664028020356</v>
      </c>
      <c r="U147">
        <v>85.391911737388199</v>
      </c>
      <c r="V147">
        <v>2</v>
      </c>
      <c r="W147">
        <v>151</v>
      </c>
      <c r="X147">
        <v>3</v>
      </c>
      <c r="Y147">
        <v>1</v>
      </c>
      <c r="Z147">
        <v>0</v>
      </c>
    </row>
    <row r="148" spans="1:26" x14ac:dyDescent="0.25">
      <c r="A148" t="s">
        <v>16</v>
      </c>
      <c r="B148">
        <v>3236</v>
      </c>
      <c r="C148" t="s">
        <v>41</v>
      </c>
      <c r="D148" t="s">
        <v>61</v>
      </c>
      <c r="F148" t="s">
        <v>66</v>
      </c>
      <c r="G148" t="s">
        <v>76</v>
      </c>
      <c r="H148" t="s">
        <v>80</v>
      </c>
      <c r="I148">
        <v>32568</v>
      </c>
      <c r="J148" s="2">
        <v>40689</v>
      </c>
      <c r="K148" t="s">
        <v>82</v>
      </c>
      <c r="L148" t="s">
        <v>83</v>
      </c>
      <c r="M148" s="2">
        <v>29645</v>
      </c>
      <c r="N148" t="s">
        <v>91</v>
      </c>
      <c r="O148">
        <v>8805</v>
      </c>
      <c r="P148">
        <v>6561</v>
      </c>
      <c r="Q148">
        <v>5554</v>
      </c>
      <c r="R148">
        <v>0.76</v>
      </c>
      <c r="S148" s="4">
        <v>2.6273142019701989</v>
      </c>
      <c r="T148" s="4">
        <v>5.9267544383941617</v>
      </c>
      <c r="U148">
        <v>96.68605301635435</v>
      </c>
      <c r="V148">
        <v>4</v>
      </c>
      <c r="W148">
        <v>239</v>
      </c>
      <c r="X148">
        <v>5</v>
      </c>
      <c r="Y148">
        <v>1</v>
      </c>
      <c r="Z148">
        <v>0</v>
      </c>
    </row>
    <row r="149" spans="1:26" x14ac:dyDescent="0.25">
      <c r="A149" t="s">
        <v>15</v>
      </c>
      <c r="B149">
        <v>7810</v>
      </c>
      <c r="C149" t="s">
        <v>25</v>
      </c>
      <c r="D149" t="s">
        <v>56</v>
      </c>
      <c r="E149">
        <v>2</v>
      </c>
      <c r="F149" t="s">
        <v>65</v>
      </c>
      <c r="G149" t="s">
        <v>76</v>
      </c>
      <c r="H149" t="s">
        <v>78</v>
      </c>
      <c r="I149">
        <v>7634</v>
      </c>
      <c r="J149" s="2">
        <v>40483</v>
      </c>
      <c r="K149" t="s">
        <v>81</v>
      </c>
      <c r="L149" t="s">
        <v>83</v>
      </c>
      <c r="M149" s="2">
        <v>30164</v>
      </c>
      <c r="N149" t="s">
        <v>95</v>
      </c>
      <c r="O149">
        <v>7813</v>
      </c>
      <c r="P149">
        <v>12592</v>
      </c>
      <c r="Q149">
        <v>5262</v>
      </c>
      <c r="R149">
        <v>0.11</v>
      </c>
      <c r="S149" s="4">
        <v>1.3262684360410217</v>
      </c>
      <c r="T149" s="4">
        <v>5.3697799768623513</v>
      </c>
      <c r="U149">
        <v>87.864610282660863</v>
      </c>
      <c r="V149">
        <v>6</v>
      </c>
      <c r="W149">
        <v>306</v>
      </c>
      <c r="X149">
        <v>4</v>
      </c>
      <c r="Y149">
        <v>1</v>
      </c>
      <c r="Z149">
        <v>0</v>
      </c>
    </row>
    <row r="150" spans="1:26" x14ac:dyDescent="0.25">
      <c r="A150" t="s">
        <v>16</v>
      </c>
      <c r="B150">
        <v>7074</v>
      </c>
      <c r="C150" t="s">
        <v>41</v>
      </c>
      <c r="D150" t="s">
        <v>61</v>
      </c>
      <c r="F150" t="s">
        <v>66</v>
      </c>
      <c r="G150" t="s">
        <v>76</v>
      </c>
      <c r="H150" t="s">
        <v>80</v>
      </c>
      <c r="I150">
        <v>32568</v>
      </c>
      <c r="J150" s="2">
        <v>40689</v>
      </c>
      <c r="K150" t="s">
        <v>82</v>
      </c>
      <c r="L150" t="s">
        <v>83</v>
      </c>
      <c r="M150" s="2">
        <v>29645</v>
      </c>
      <c r="N150" t="s">
        <v>92</v>
      </c>
      <c r="O150">
        <v>14578</v>
      </c>
      <c r="P150">
        <v>12573</v>
      </c>
      <c r="Q150">
        <v>5286</v>
      </c>
      <c r="R150">
        <v>0.84</v>
      </c>
      <c r="S150" s="4">
        <v>1.6246974029401371</v>
      </c>
      <c r="T150" s="4">
        <v>9.1771237005999318</v>
      </c>
      <c r="U150">
        <v>84.466666207002092</v>
      </c>
      <c r="V150">
        <v>4</v>
      </c>
      <c r="W150">
        <v>263</v>
      </c>
      <c r="X150">
        <v>5</v>
      </c>
      <c r="Y150">
        <v>1</v>
      </c>
      <c r="Z150">
        <v>0</v>
      </c>
    </row>
    <row r="151" spans="1:26" x14ac:dyDescent="0.25">
      <c r="A151" t="s">
        <v>17</v>
      </c>
      <c r="B151">
        <v>8680</v>
      </c>
      <c r="C151" t="s">
        <v>31</v>
      </c>
      <c r="D151" t="s">
        <v>55</v>
      </c>
      <c r="E151">
        <v>1</v>
      </c>
      <c r="F151" t="s">
        <v>68</v>
      </c>
      <c r="G151" t="s">
        <v>76</v>
      </c>
      <c r="H151" t="s">
        <v>79</v>
      </c>
      <c r="I151">
        <v>17112</v>
      </c>
      <c r="J151" s="2">
        <v>41003</v>
      </c>
      <c r="K151" t="s">
        <v>82</v>
      </c>
      <c r="L151" t="s">
        <v>83</v>
      </c>
      <c r="M151" s="2">
        <v>29298</v>
      </c>
      <c r="N151" t="s">
        <v>98</v>
      </c>
      <c r="O151">
        <v>15920</v>
      </c>
      <c r="P151">
        <v>13941</v>
      </c>
      <c r="Q151">
        <v>5015</v>
      </c>
      <c r="R151">
        <v>0.39</v>
      </c>
      <c r="S151" s="4">
        <v>4.2092775763022967</v>
      </c>
      <c r="T151" s="4">
        <v>5.9290802206813922</v>
      </c>
      <c r="U151">
        <v>82.258292843665743</v>
      </c>
      <c r="V151">
        <v>2</v>
      </c>
      <c r="W151">
        <v>147</v>
      </c>
      <c r="X151">
        <v>3</v>
      </c>
      <c r="Y151">
        <v>1</v>
      </c>
      <c r="Z151">
        <v>0</v>
      </c>
    </row>
    <row r="152" spans="1:26" x14ac:dyDescent="0.25">
      <c r="A152" t="s">
        <v>14</v>
      </c>
      <c r="B152">
        <v>5661</v>
      </c>
      <c r="C152" t="s">
        <v>49</v>
      </c>
      <c r="D152" t="s">
        <v>55</v>
      </c>
      <c r="E152">
        <v>3</v>
      </c>
      <c r="F152" t="s">
        <v>65</v>
      </c>
      <c r="G152" t="s">
        <v>76</v>
      </c>
      <c r="H152" t="s">
        <v>79</v>
      </c>
      <c r="I152">
        <v>26982</v>
      </c>
      <c r="J152" s="2">
        <v>41814</v>
      </c>
      <c r="K152" t="s">
        <v>81</v>
      </c>
      <c r="L152" t="s">
        <v>83</v>
      </c>
      <c r="M152" s="2">
        <v>28749</v>
      </c>
      <c r="N152" t="s">
        <v>94</v>
      </c>
      <c r="O152">
        <v>9767</v>
      </c>
      <c r="P152">
        <v>15950</v>
      </c>
      <c r="Q152">
        <v>5383</v>
      </c>
      <c r="R152">
        <v>0.11</v>
      </c>
      <c r="S152" s="4">
        <v>3.7033656190835704</v>
      </c>
      <c r="T152" s="4">
        <v>6.2720171620276686</v>
      </c>
      <c r="U152">
        <v>94.835300839522972</v>
      </c>
      <c r="V152">
        <v>6</v>
      </c>
      <c r="W152">
        <v>278</v>
      </c>
      <c r="X152">
        <v>4</v>
      </c>
      <c r="Y152">
        <v>1</v>
      </c>
      <c r="Z152">
        <v>0</v>
      </c>
    </row>
    <row r="153" spans="1:26" x14ac:dyDescent="0.25">
      <c r="A153" t="s">
        <v>13</v>
      </c>
      <c r="B153">
        <v>6931</v>
      </c>
      <c r="C153" t="s">
        <v>38</v>
      </c>
      <c r="D153" t="s">
        <v>52</v>
      </c>
      <c r="E153">
        <v>7</v>
      </c>
      <c r="F153" t="s">
        <v>70</v>
      </c>
      <c r="G153" t="s">
        <v>75</v>
      </c>
      <c r="H153" t="s">
        <v>77</v>
      </c>
      <c r="I153">
        <v>24043</v>
      </c>
      <c r="J153" s="2">
        <v>43175</v>
      </c>
      <c r="K153" t="s">
        <v>81</v>
      </c>
      <c r="L153" t="s">
        <v>84</v>
      </c>
      <c r="M153" s="2">
        <v>30958</v>
      </c>
      <c r="N153" t="s">
        <v>95</v>
      </c>
      <c r="O153">
        <v>8942</v>
      </c>
      <c r="P153">
        <v>10790</v>
      </c>
      <c r="Q153">
        <v>5693</v>
      </c>
      <c r="R153">
        <v>0.45</v>
      </c>
      <c r="S153" s="4">
        <v>1.6978596578455125</v>
      </c>
      <c r="T153" s="4">
        <v>5.5994323423720367</v>
      </c>
      <c r="U153">
        <v>82.951251678742764</v>
      </c>
      <c r="V153">
        <v>2</v>
      </c>
      <c r="W153">
        <v>154</v>
      </c>
      <c r="X153">
        <v>3</v>
      </c>
      <c r="Y153">
        <v>1</v>
      </c>
      <c r="Z153">
        <v>0</v>
      </c>
    </row>
    <row r="154" spans="1:26" x14ac:dyDescent="0.25">
      <c r="A154" t="s">
        <v>15</v>
      </c>
      <c r="B154">
        <v>3035</v>
      </c>
      <c r="C154" t="s">
        <v>25</v>
      </c>
      <c r="D154" t="s">
        <v>56</v>
      </c>
      <c r="E154">
        <v>2</v>
      </c>
      <c r="F154" t="s">
        <v>65</v>
      </c>
      <c r="G154" t="s">
        <v>76</v>
      </c>
      <c r="H154" t="s">
        <v>78</v>
      </c>
      <c r="I154">
        <v>7634</v>
      </c>
      <c r="J154" s="2">
        <v>40483</v>
      </c>
      <c r="K154" t="s">
        <v>81</v>
      </c>
      <c r="L154" t="s">
        <v>83</v>
      </c>
      <c r="M154" s="2">
        <v>27706</v>
      </c>
      <c r="N154" t="s">
        <v>88</v>
      </c>
      <c r="O154">
        <v>12080</v>
      </c>
      <c r="P154">
        <v>9562</v>
      </c>
      <c r="Q154">
        <v>5840</v>
      </c>
      <c r="R154">
        <v>0.37</v>
      </c>
      <c r="S154" s="4">
        <v>4.7532113644868295</v>
      </c>
      <c r="T154" s="4">
        <v>8.7954777465189444</v>
      </c>
      <c r="U154">
        <v>90.941891312050004</v>
      </c>
      <c r="V154">
        <v>2</v>
      </c>
      <c r="W154">
        <v>143</v>
      </c>
      <c r="X154">
        <v>3</v>
      </c>
      <c r="Y154">
        <v>1</v>
      </c>
      <c r="Z154">
        <v>0</v>
      </c>
    </row>
    <row r="155" spans="1:26" x14ac:dyDescent="0.25">
      <c r="A155" t="s">
        <v>16</v>
      </c>
      <c r="B155">
        <v>3256</v>
      </c>
      <c r="C155" t="s">
        <v>41</v>
      </c>
      <c r="D155" t="s">
        <v>61</v>
      </c>
      <c r="F155" t="s">
        <v>66</v>
      </c>
      <c r="G155" t="s">
        <v>76</v>
      </c>
      <c r="H155" t="s">
        <v>80</v>
      </c>
      <c r="I155">
        <v>32568</v>
      </c>
      <c r="J155" s="2">
        <v>40689</v>
      </c>
      <c r="K155" t="s">
        <v>82</v>
      </c>
      <c r="L155" t="s">
        <v>83</v>
      </c>
      <c r="M155" s="2">
        <v>29645</v>
      </c>
      <c r="N155" t="s">
        <v>97</v>
      </c>
      <c r="O155">
        <v>10237</v>
      </c>
      <c r="P155">
        <v>15595</v>
      </c>
      <c r="Q155">
        <v>5656</v>
      </c>
      <c r="R155">
        <v>0.4</v>
      </c>
      <c r="S155" s="4">
        <v>4.3779385816297083</v>
      </c>
      <c r="T155" s="4">
        <v>6.2856587878789787</v>
      </c>
      <c r="U155">
        <v>97.30599368792636</v>
      </c>
      <c r="V155">
        <v>2</v>
      </c>
      <c r="W155">
        <v>155</v>
      </c>
      <c r="X155">
        <v>3</v>
      </c>
      <c r="Y155">
        <v>1</v>
      </c>
      <c r="Z155">
        <v>0</v>
      </c>
    </row>
    <row r="156" spans="1:26" x14ac:dyDescent="0.25">
      <c r="A156" t="s">
        <v>17</v>
      </c>
      <c r="B156">
        <v>8413</v>
      </c>
      <c r="C156" t="s">
        <v>28</v>
      </c>
      <c r="D156" t="s">
        <v>55</v>
      </c>
      <c r="E156">
        <v>2</v>
      </c>
      <c r="F156" t="s">
        <v>67</v>
      </c>
      <c r="G156" t="s">
        <v>76</v>
      </c>
      <c r="H156" t="s">
        <v>79</v>
      </c>
      <c r="I156">
        <v>19432</v>
      </c>
      <c r="J156" s="2">
        <v>41003</v>
      </c>
      <c r="K156" t="s">
        <v>82</v>
      </c>
      <c r="L156" t="s">
        <v>83</v>
      </c>
      <c r="M156" s="2">
        <v>27422</v>
      </c>
      <c r="N156" t="s">
        <v>98</v>
      </c>
      <c r="O156">
        <v>15910</v>
      </c>
      <c r="P156">
        <v>3334</v>
      </c>
      <c r="Q156">
        <v>5246</v>
      </c>
      <c r="R156">
        <v>0.39</v>
      </c>
      <c r="S156" s="4">
        <v>3.1186872452099634</v>
      </c>
      <c r="T156" s="4">
        <v>8.0681618742297445</v>
      </c>
      <c r="U156">
        <v>97.807990976425287</v>
      </c>
      <c r="V156">
        <v>2</v>
      </c>
      <c r="W156">
        <v>160</v>
      </c>
      <c r="X156">
        <v>3</v>
      </c>
      <c r="Y156">
        <v>1</v>
      </c>
      <c r="Z156">
        <v>0</v>
      </c>
    </row>
    <row r="157" spans="1:26" x14ac:dyDescent="0.25">
      <c r="A157" t="s">
        <v>14</v>
      </c>
      <c r="B157">
        <v>6765</v>
      </c>
      <c r="C157" t="s">
        <v>33</v>
      </c>
      <c r="D157" t="s">
        <v>56</v>
      </c>
      <c r="E157">
        <v>3</v>
      </c>
      <c r="F157" t="s">
        <v>65</v>
      </c>
      <c r="G157" t="s">
        <v>76</v>
      </c>
      <c r="H157" t="s">
        <v>78</v>
      </c>
      <c r="I157">
        <v>13019</v>
      </c>
      <c r="J157" s="2">
        <v>41814</v>
      </c>
      <c r="K157" t="s">
        <v>81</v>
      </c>
      <c r="L157" t="s">
        <v>83</v>
      </c>
      <c r="M157" s="2">
        <v>28130</v>
      </c>
      <c r="N157" t="s">
        <v>92</v>
      </c>
      <c r="O157">
        <v>16289</v>
      </c>
      <c r="P157">
        <v>12009</v>
      </c>
      <c r="Q157">
        <v>5067</v>
      </c>
      <c r="R157">
        <v>0.11</v>
      </c>
      <c r="S157" s="4">
        <v>4.8511304612807198</v>
      </c>
      <c r="T157" s="4">
        <v>5.1210531531420616</v>
      </c>
      <c r="U157">
        <v>96.891631810124764</v>
      </c>
      <c r="V157">
        <v>6</v>
      </c>
      <c r="W157">
        <v>304</v>
      </c>
      <c r="X157">
        <v>4</v>
      </c>
      <c r="Y157">
        <v>1</v>
      </c>
      <c r="Z157">
        <v>0</v>
      </c>
    </row>
    <row r="158" spans="1:26" x14ac:dyDescent="0.25">
      <c r="A158" t="s">
        <v>13</v>
      </c>
      <c r="B158">
        <v>9778</v>
      </c>
      <c r="C158" t="s">
        <v>38</v>
      </c>
      <c r="D158" t="s">
        <v>52</v>
      </c>
      <c r="E158">
        <v>6</v>
      </c>
      <c r="F158" t="s">
        <v>70</v>
      </c>
      <c r="G158" t="s">
        <v>75</v>
      </c>
      <c r="H158" t="s">
        <v>77</v>
      </c>
      <c r="I158">
        <v>23695</v>
      </c>
      <c r="J158" s="2">
        <v>43175</v>
      </c>
      <c r="K158" t="s">
        <v>81</v>
      </c>
      <c r="L158" t="s">
        <v>84</v>
      </c>
      <c r="M158" s="2">
        <v>27131</v>
      </c>
      <c r="N158" t="s">
        <v>86</v>
      </c>
      <c r="O158">
        <v>16688</v>
      </c>
      <c r="P158">
        <v>11752</v>
      </c>
      <c r="Q158">
        <v>5006</v>
      </c>
      <c r="R158">
        <v>0.83</v>
      </c>
      <c r="S158" s="4">
        <v>4.4012621447748312</v>
      </c>
      <c r="T158" s="4">
        <v>6.6842332186407205</v>
      </c>
      <c r="U158">
        <v>89.237027329554508</v>
      </c>
      <c r="V158">
        <v>5</v>
      </c>
      <c r="W158">
        <v>240</v>
      </c>
      <c r="X158">
        <v>5</v>
      </c>
      <c r="Y158">
        <v>1</v>
      </c>
      <c r="Z158">
        <v>0</v>
      </c>
    </row>
    <row r="159" spans="1:26" x14ac:dyDescent="0.25">
      <c r="A159" t="s">
        <v>15</v>
      </c>
      <c r="B159">
        <v>4496</v>
      </c>
      <c r="C159" t="s">
        <v>25</v>
      </c>
      <c r="D159" t="s">
        <v>56</v>
      </c>
      <c r="E159">
        <v>2</v>
      </c>
      <c r="F159" t="s">
        <v>65</v>
      </c>
      <c r="G159" t="s">
        <v>76</v>
      </c>
      <c r="H159" t="s">
        <v>78</v>
      </c>
      <c r="I159">
        <v>7634</v>
      </c>
      <c r="J159" s="2">
        <v>40483</v>
      </c>
      <c r="K159" t="s">
        <v>81</v>
      </c>
      <c r="L159" t="s">
        <v>83</v>
      </c>
      <c r="M159" s="2">
        <v>30019</v>
      </c>
      <c r="N159" t="s">
        <v>85</v>
      </c>
      <c r="O159">
        <v>16372</v>
      </c>
      <c r="P159">
        <v>13716</v>
      </c>
      <c r="Q159">
        <v>5191</v>
      </c>
      <c r="R159">
        <v>0.11</v>
      </c>
      <c r="S159" s="4">
        <v>3.3888898514121908</v>
      </c>
      <c r="T159" s="4">
        <v>6.548721205545009</v>
      </c>
      <c r="U159">
        <v>94.879623145427217</v>
      </c>
      <c r="V159">
        <v>6</v>
      </c>
      <c r="W159">
        <v>305</v>
      </c>
      <c r="X159">
        <v>4</v>
      </c>
      <c r="Y159">
        <v>1</v>
      </c>
      <c r="Z159">
        <v>0</v>
      </c>
    </row>
    <row r="160" spans="1:26" x14ac:dyDescent="0.25">
      <c r="A160" t="s">
        <v>16</v>
      </c>
      <c r="B160">
        <v>4831</v>
      </c>
      <c r="C160" t="s">
        <v>41</v>
      </c>
      <c r="D160" t="s">
        <v>61</v>
      </c>
      <c r="F160" t="s">
        <v>66</v>
      </c>
      <c r="G160" t="s">
        <v>76</v>
      </c>
      <c r="H160" t="s">
        <v>80</v>
      </c>
      <c r="I160">
        <v>32568</v>
      </c>
      <c r="J160" s="2">
        <v>40689</v>
      </c>
      <c r="K160" t="s">
        <v>82</v>
      </c>
      <c r="L160" t="s">
        <v>83</v>
      </c>
      <c r="M160" s="2">
        <v>29645</v>
      </c>
      <c r="N160" t="s">
        <v>89</v>
      </c>
      <c r="O160">
        <v>17408</v>
      </c>
      <c r="P160">
        <v>14434</v>
      </c>
      <c r="Q160">
        <v>5160</v>
      </c>
      <c r="R160">
        <v>0.39</v>
      </c>
      <c r="S160" s="4">
        <v>3.7967909953814929</v>
      </c>
      <c r="T160" s="4">
        <v>6.3311880087836965</v>
      </c>
      <c r="U160">
        <v>92.904523118007972</v>
      </c>
      <c r="V160">
        <v>2</v>
      </c>
      <c r="W160">
        <v>136</v>
      </c>
      <c r="X160">
        <v>3</v>
      </c>
      <c r="Y160">
        <v>1</v>
      </c>
      <c r="Z160">
        <v>0</v>
      </c>
    </row>
    <row r="161" spans="1:26" x14ac:dyDescent="0.25">
      <c r="A161" t="s">
        <v>15</v>
      </c>
      <c r="B161">
        <v>7870</v>
      </c>
      <c r="C161" t="s">
        <v>25</v>
      </c>
      <c r="D161" t="s">
        <v>56</v>
      </c>
      <c r="E161">
        <v>2</v>
      </c>
      <c r="F161" t="s">
        <v>65</v>
      </c>
      <c r="G161" t="s">
        <v>76</v>
      </c>
      <c r="H161" t="s">
        <v>78</v>
      </c>
      <c r="I161">
        <v>7634</v>
      </c>
      <c r="J161" s="2">
        <v>40483</v>
      </c>
      <c r="K161" t="s">
        <v>81</v>
      </c>
      <c r="L161" t="s">
        <v>83</v>
      </c>
      <c r="M161" s="2">
        <v>29306</v>
      </c>
      <c r="N161" t="s">
        <v>96</v>
      </c>
      <c r="O161">
        <v>14904</v>
      </c>
      <c r="P161">
        <v>3021</v>
      </c>
      <c r="Q161">
        <v>5510</v>
      </c>
      <c r="R161">
        <v>0.45</v>
      </c>
      <c r="S161" s="4">
        <v>2.7052468536106034</v>
      </c>
      <c r="T161" s="4">
        <v>5.4074387181495664</v>
      </c>
      <c r="U161">
        <v>87.223030736500945</v>
      </c>
      <c r="V161">
        <v>2</v>
      </c>
      <c r="W161">
        <v>132</v>
      </c>
      <c r="X161">
        <v>3</v>
      </c>
      <c r="Y161">
        <v>1</v>
      </c>
      <c r="Z161">
        <v>0</v>
      </c>
    </row>
    <row r="162" spans="1:26" x14ac:dyDescent="0.25">
      <c r="A162" t="s">
        <v>16</v>
      </c>
      <c r="B162">
        <v>8427</v>
      </c>
      <c r="C162" t="s">
        <v>41</v>
      </c>
      <c r="D162" t="s">
        <v>61</v>
      </c>
      <c r="F162" t="s">
        <v>66</v>
      </c>
      <c r="G162" t="s">
        <v>76</v>
      </c>
      <c r="H162" t="s">
        <v>80</v>
      </c>
      <c r="I162">
        <v>32956</v>
      </c>
      <c r="J162" s="2">
        <v>40689</v>
      </c>
      <c r="K162" t="s">
        <v>82</v>
      </c>
      <c r="L162" t="s">
        <v>83</v>
      </c>
      <c r="M162" s="2">
        <v>29645</v>
      </c>
      <c r="N162" t="s">
        <v>89</v>
      </c>
      <c r="O162">
        <v>10455</v>
      </c>
      <c r="P162">
        <v>8945</v>
      </c>
      <c r="Q162">
        <v>5638</v>
      </c>
      <c r="R162">
        <v>0.1</v>
      </c>
      <c r="S162" s="4">
        <v>3.3695085520197665</v>
      </c>
      <c r="T162" s="4">
        <v>7.1045116831098394</v>
      </c>
      <c r="U162">
        <v>87.415796569024863</v>
      </c>
      <c r="V162">
        <v>7</v>
      </c>
      <c r="W162">
        <v>301</v>
      </c>
      <c r="X162">
        <v>4</v>
      </c>
      <c r="Y162">
        <v>1</v>
      </c>
      <c r="Z162">
        <v>0</v>
      </c>
    </row>
    <row r="163" spans="1:26" x14ac:dyDescent="0.25">
      <c r="A163" t="s">
        <v>17</v>
      </c>
      <c r="B163">
        <v>2817</v>
      </c>
      <c r="C163" t="s">
        <v>31</v>
      </c>
      <c r="D163" t="s">
        <v>55</v>
      </c>
      <c r="E163">
        <v>2</v>
      </c>
      <c r="F163" t="s">
        <v>68</v>
      </c>
      <c r="G163" t="s">
        <v>76</v>
      </c>
      <c r="H163" t="s">
        <v>79</v>
      </c>
      <c r="I163">
        <v>19432</v>
      </c>
      <c r="J163" s="2">
        <v>41003</v>
      </c>
      <c r="K163" t="s">
        <v>82</v>
      </c>
      <c r="L163" t="s">
        <v>83</v>
      </c>
      <c r="M163" s="2">
        <v>29298</v>
      </c>
      <c r="N163" t="s">
        <v>99</v>
      </c>
      <c r="O163">
        <v>11792</v>
      </c>
      <c r="P163">
        <v>6697</v>
      </c>
      <c r="Q163">
        <v>5282</v>
      </c>
      <c r="R163">
        <v>0.9</v>
      </c>
      <c r="S163" s="4">
        <v>2.9807089133420304</v>
      </c>
      <c r="T163" s="4">
        <v>9.2695169398294244</v>
      </c>
      <c r="U163">
        <v>97.634226514600726</v>
      </c>
      <c r="V163">
        <v>5</v>
      </c>
      <c r="W163">
        <v>243</v>
      </c>
      <c r="X163">
        <v>6</v>
      </c>
      <c r="Y163">
        <v>1</v>
      </c>
      <c r="Z163">
        <v>0</v>
      </c>
    </row>
    <row r="164" spans="1:26" x14ac:dyDescent="0.25">
      <c r="A164" t="s">
        <v>14</v>
      </c>
      <c r="B164">
        <v>3212</v>
      </c>
      <c r="C164" t="s">
        <v>33</v>
      </c>
      <c r="D164" t="s">
        <v>56</v>
      </c>
      <c r="E164">
        <v>3</v>
      </c>
      <c r="F164" t="s">
        <v>65</v>
      </c>
      <c r="G164" t="s">
        <v>76</v>
      </c>
      <c r="H164" t="s">
        <v>78</v>
      </c>
      <c r="I164">
        <v>13019</v>
      </c>
      <c r="J164" s="2">
        <v>41814</v>
      </c>
      <c r="K164" t="s">
        <v>81</v>
      </c>
      <c r="L164" t="s">
        <v>83</v>
      </c>
      <c r="M164" s="2">
        <v>29463</v>
      </c>
      <c r="N164" t="s">
        <v>100</v>
      </c>
      <c r="O164">
        <v>14068</v>
      </c>
      <c r="P164">
        <v>4759</v>
      </c>
      <c r="Q164">
        <v>5907</v>
      </c>
      <c r="R164">
        <v>0.45</v>
      </c>
      <c r="S164" s="4">
        <v>3.6634721550626157</v>
      </c>
      <c r="T164" s="4">
        <v>5.6254928669756517</v>
      </c>
      <c r="U164">
        <v>91.089229822389257</v>
      </c>
      <c r="V164">
        <v>2</v>
      </c>
      <c r="W164">
        <v>147</v>
      </c>
      <c r="X164">
        <v>3</v>
      </c>
      <c r="Y164">
        <v>1</v>
      </c>
      <c r="Z164">
        <v>0</v>
      </c>
    </row>
    <row r="165" spans="1:26" x14ac:dyDescent="0.25">
      <c r="A165" t="s">
        <v>15</v>
      </c>
      <c r="B165">
        <v>4878</v>
      </c>
      <c r="C165" t="s">
        <v>25</v>
      </c>
      <c r="D165" t="s">
        <v>56</v>
      </c>
      <c r="E165">
        <v>2</v>
      </c>
      <c r="F165" t="s">
        <v>65</v>
      </c>
      <c r="G165" t="s">
        <v>76</v>
      </c>
      <c r="H165" t="s">
        <v>78</v>
      </c>
      <c r="I165">
        <v>7634</v>
      </c>
      <c r="J165" s="2">
        <v>40483</v>
      </c>
      <c r="K165" t="s">
        <v>81</v>
      </c>
      <c r="L165" t="s">
        <v>83</v>
      </c>
      <c r="M165" s="2">
        <v>27249</v>
      </c>
      <c r="N165" t="s">
        <v>86</v>
      </c>
      <c r="O165">
        <v>15172</v>
      </c>
      <c r="P165">
        <v>11310</v>
      </c>
      <c r="Q165">
        <v>5275</v>
      </c>
      <c r="R165">
        <v>0.79</v>
      </c>
      <c r="S165" s="4">
        <v>3.997834368437247</v>
      </c>
      <c r="T165" s="4">
        <v>8.8047681519158907</v>
      </c>
      <c r="U165">
        <v>90.229398019157259</v>
      </c>
      <c r="V165">
        <v>5</v>
      </c>
      <c r="W165">
        <v>239</v>
      </c>
      <c r="X165">
        <v>5</v>
      </c>
      <c r="Y165">
        <v>1</v>
      </c>
      <c r="Z165">
        <v>0</v>
      </c>
    </row>
    <row r="166" spans="1:26" x14ac:dyDescent="0.25">
      <c r="A166" t="s">
        <v>16</v>
      </c>
      <c r="B166">
        <v>1767</v>
      </c>
      <c r="C166" t="s">
        <v>41</v>
      </c>
      <c r="D166" t="s">
        <v>61</v>
      </c>
      <c r="F166" t="s">
        <v>66</v>
      </c>
      <c r="G166" t="s">
        <v>76</v>
      </c>
      <c r="H166" t="s">
        <v>80</v>
      </c>
      <c r="I166">
        <v>32956</v>
      </c>
      <c r="J166" s="2">
        <v>40689</v>
      </c>
      <c r="K166" t="s">
        <v>82</v>
      </c>
      <c r="L166" t="s">
        <v>83</v>
      </c>
      <c r="M166" s="2">
        <v>29645</v>
      </c>
      <c r="N166" t="s">
        <v>95</v>
      </c>
      <c r="O166">
        <v>8213</v>
      </c>
      <c r="P166">
        <v>11803</v>
      </c>
      <c r="Q166">
        <v>5126</v>
      </c>
      <c r="R166">
        <v>0.9</v>
      </c>
      <c r="S166" s="4">
        <v>4.0834937125981945</v>
      </c>
      <c r="T166" s="4">
        <v>7.3308888864481236</v>
      </c>
      <c r="U166">
        <v>84.078147155458737</v>
      </c>
      <c r="V166">
        <v>5</v>
      </c>
      <c r="W166">
        <v>260</v>
      </c>
      <c r="X166">
        <v>5</v>
      </c>
      <c r="Y166">
        <v>1</v>
      </c>
      <c r="Z166">
        <v>0</v>
      </c>
    </row>
    <row r="167" spans="1:26" x14ac:dyDescent="0.25">
      <c r="A167" t="s">
        <v>17</v>
      </c>
      <c r="B167">
        <v>6924</v>
      </c>
      <c r="C167" t="s">
        <v>28</v>
      </c>
      <c r="D167" t="s">
        <v>55</v>
      </c>
      <c r="E167">
        <v>3</v>
      </c>
      <c r="F167" t="s">
        <v>67</v>
      </c>
      <c r="G167" t="s">
        <v>76</v>
      </c>
      <c r="H167" t="s">
        <v>79</v>
      </c>
      <c r="I167">
        <v>19936</v>
      </c>
      <c r="J167" s="2">
        <v>41003</v>
      </c>
      <c r="K167" t="s">
        <v>82</v>
      </c>
      <c r="L167" t="s">
        <v>83</v>
      </c>
      <c r="M167" s="2">
        <v>27422</v>
      </c>
      <c r="N167" t="s">
        <v>89</v>
      </c>
      <c r="O167">
        <v>15123</v>
      </c>
      <c r="P167">
        <v>16964</v>
      </c>
      <c r="Q167">
        <v>5430</v>
      </c>
      <c r="R167">
        <v>0.11</v>
      </c>
      <c r="S167" s="4">
        <v>3.4990645133586575</v>
      </c>
      <c r="T167" s="4">
        <v>5.6280563732191338</v>
      </c>
      <c r="U167">
        <v>88.868179482007051</v>
      </c>
      <c r="V167">
        <v>7</v>
      </c>
      <c r="W167">
        <v>296</v>
      </c>
      <c r="X167">
        <v>4</v>
      </c>
      <c r="Y167">
        <v>1</v>
      </c>
      <c r="Z167">
        <v>0</v>
      </c>
    </row>
    <row r="168" spans="1:26" x14ac:dyDescent="0.25">
      <c r="A168" t="s">
        <v>14</v>
      </c>
      <c r="B168">
        <v>5956</v>
      </c>
      <c r="C168" t="s">
        <v>33</v>
      </c>
      <c r="D168" t="s">
        <v>56</v>
      </c>
      <c r="E168">
        <v>3</v>
      </c>
      <c r="F168" t="s">
        <v>65</v>
      </c>
      <c r="G168" t="s">
        <v>76</v>
      </c>
      <c r="H168" t="s">
        <v>78</v>
      </c>
      <c r="I168">
        <v>13019</v>
      </c>
      <c r="J168" s="2">
        <v>41814</v>
      </c>
      <c r="K168" t="s">
        <v>81</v>
      </c>
      <c r="L168" t="s">
        <v>83</v>
      </c>
      <c r="M168" s="2">
        <v>25020</v>
      </c>
      <c r="N168" t="s">
        <v>93</v>
      </c>
      <c r="O168">
        <v>18284</v>
      </c>
      <c r="P168">
        <v>4882</v>
      </c>
      <c r="Q168">
        <v>5636</v>
      </c>
      <c r="R168">
        <v>0.43</v>
      </c>
      <c r="S168" s="4">
        <v>2.6957985179344526</v>
      </c>
      <c r="T168" s="4">
        <v>8.6723384797747602</v>
      </c>
      <c r="U168">
        <v>80.566207189048058</v>
      </c>
      <c r="V168">
        <v>2</v>
      </c>
      <c r="W168">
        <v>129</v>
      </c>
      <c r="X168">
        <v>3</v>
      </c>
      <c r="Y168">
        <v>1</v>
      </c>
      <c r="Z168">
        <v>0</v>
      </c>
    </row>
    <row r="169" spans="1:26" x14ac:dyDescent="0.25">
      <c r="A169" t="s">
        <v>13</v>
      </c>
      <c r="B169">
        <v>8871</v>
      </c>
      <c r="C169" t="s">
        <v>18</v>
      </c>
      <c r="D169" t="s">
        <v>55</v>
      </c>
      <c r="E169">
        <v>7</v>
      </c>
      <c r="F169" t="s">
        <v>72</v>
      </c>
      <c r="G169" t="s">
        <v>75</v>
      </c>
      <c r="H169" t="s">
        <v>77</v>
      </c>
      <c r="I169">
        <v>30434</v>
      </c>
      <c r="J169" s="2">
        <v>43175</v>
      </c>
      <c r="K169" t="s">
        <v>81</v>
      </c>
      <c r="L169" t="s">
        <v>84</v>
      </c>
      <c r="M169" s="2">
        <v>30133</v>
      </c>
      <c r="N169" t="s">
        <v>93</v>
      </c>
      <c r="O169">
        <v>5229</v>
      </c>
      <c r="P169">
        <v>7076</v>
      </c>
      <c r="Q169">
        <v>5031</v>
      </c>
      <c r="R169">
        <v>0.31</v>
      </c>
      <c r="S169" s="4">
        <v>4.9454581637089987</v>
      </c>
      <c r="T169" s="4">
        <v>6.0683484238032364</v>
      </c>
      <c r="U169">
        <v>81.34064283606061</v>
      </c>
      <c r="V169">
        <v>5</v>
      </c>
      <c r="W169">
        <v>132</v>
      </c>
      <c r="X169">
        <v>5</v>
      </c>
      <c r="Y169">
        <v>1</v>
      </c>
      <c r="Z169">
        <v>0</v>
      </c>
    </row>
    <row r="170" spans="1:26" x14ac:dyDescent="0.25">
      <c r="A170" t="s">
        <v>15</v>
      </c>
      <c r="B170">
        <v>3031</v>
      </c>
      <c r="C170" t="s">
        <v>25</v>
      </c>
      <c r="D170" t="s">
        <v>56</v>
      </c>
      <c r="E170">
        <v>2</v>
      </c>
      <c r="F170" t="s">
        <v>65</v>
      </c>
      <c r="G170" t="s">
        <v>76</v>
      </c>
      <c r="H170" t="s">
        <v>78</v>
      </c>
      <c r="I170">
        <v>7634</v>
      </c>
      <c r="J170" s="2">
        <v>40483</v>
      </c>
      <c r="K170" t="s">
        <v>81</v>
      </c>
      <c r="L170" t="s">
        <v>83</v>
      </c>
      <c r="M170" s="2">
        <v>25111</v>
      </c>
      <c r="N170" t="s">
        <v>94</v>
      </c>
      <c r="O170">
        <v>14230</v>
      </c>
      <c r="P170">
        <v>8934</v>
      </c>
      <c r="Q170">
        <v>5707</v>
      </c>
      <c r="R170">
        <v>0.32</v>
      </c>
      <c r="S170" s="4">
        <v>2.0757678842717535</v>
      </c>
      <c r="T170" s="4">
        <v>8.697985615589948</v>
      </c>
      <c r="U170">
        <v>89.408532763041421</v>
      </c>
      <c r="V170">
        <v>2</v>
      </c>
      <c r="W170">
        <v>135</v>
      </c>
      <c r="X170">
        <v>5</v>
      </c>
      <c r="Y170">
        <v>1</v>
      </c>
      <c r="Z170">
        <v>0</v>
      </c>
    </row>
    <row r="171" spans="1:26" x14ac:dyDescent="0.25">
      <c r="A171" t="s">
        <v>16</v>
      </c>
      <c r="B171">
        <v>2181</v>
      </c>
      <c r="C171" t="s">
        <v>41</v>
      </c>
      <c r="D171" t="s">
        <v>61</v>
      </c>
      <c r="F171" t="s">
        <v>66</v>
      </c>
      <c r="G171" t="s">
        <v>76</v>
      </c>
      <c r="H171" t="s">
        <v>80</v>
      </c>
      <c r="I171">
        <v>32956</v>
      </c>
      <c r="J171" s="2">
        <v>40689</v>
      </c>
      <c r="K171" t="s">
        <v>82</v>
      </c>
      <c r="L171" t="s">
        <v>83</v>
      </c>
      <c r="M171" s="2">
        <v>29645</v>
      </c>
      <c r="N171" t="s">
        <v>92</v>
      </c>
      <c r="O171">
        <v>17335</v>
      </c>
      <c r="P171">
        <v>15709</v>
      </c>
      <c r="Q171">
        <v>5558</v>
      </c>
      <c r="R171">
        <v>0.45</v>
      </c>
      <c r="S171" s="4">
        <v>1.1463071157232418</v>
      </c>
      <c r="T171" s="4">
        <v>7.6253611829122443</v>
      </c>
      <c r="U171">
        <v>83.472225880594493</v>
      </c>
      <c r="V171">
        <v>2</v>
      </c>
      <c r="W171">
        <v>158</v>
      </c>
      <c r="X171">
        <v>3</v>
      </c>
      <c r="Y171">
        <v>1</v>
      </c>
      <c r="Z171">
        <v>0</v>
      </c>
    </row>
    <row r="172" spans="1:26" x14ac:dyDescent="0.25">
      <c r="A172" t="s">
        <v>17</v>
      </c>
      <c r="B172">
        <v>9397</v>
      </c>
      <c r="C172" t="s">
        <v>31</v>
      </c>
      <c r="D172" t="s">
        <v>55</v>
      </c>
      <c r="E172">
        <v>3</v>
      </c>
      <c r="F172" t="s">
        <v>68</v>
      </c>
      <c r="G172" t="s">
        <v>76</v>
      </c>
      <c r="H172" t="s">
        <v>79</v>
      </c>
      <c r="I172">
        <v>23583</v>
      </c>
      <c r="J172" s="2">
        <v>41003</v>
      </c>
      <c r="K172" t="s">
        <v>82</v>
      </c>
      <c r="L172" t="s">
        <v>83</v>
      </c>
      <c r="M172" s="2">
        <v>29298</v>
      </c>
      <c r="N172" t="s">
        <v>95</v>
      </c>
      <c r="O172">
        <v>18275</v>
      </c>
      <c r="P172">
        <v>14236</v>
      </c>
      <c r="Q172">
        <v>5989</v>
      </c>
      <c r="R172">
        <v>0.81</v>
      </c>
      <c r="S172" s="4">
        <v>3.0528121402574793</v>
      </c>
      <c r="T172" s="4">
        <v>7.9073588806986592</v>
      </c>
      <c r="U172">
        <v>96.532020422720109</v>
      </c>
      <c r="V172">
        <v>4</v>
      </c>
      <c r="W172">
        <v>259</v>
      </c>
      <c r="X172">
        <v>5</v>
      </c>
      <c r="Y172">
        <v>1</v>
      </c>
      <c r="Z172">
        <v>0</v>
      </c>
    </row>
    <row r="173" spans="1:26" x14ac:dyDescent="0.25">
      <c r="A173" t="s">
        <v>14</v>
      </c>
      <c r="B173">
        <v>4898</v>
      </c>
      <c r="C173" t="s">
        <v>33</v>
      </c>
      <c r="D173" t="s">
        <v>56</v>
      </c>
      <c r="E173">
        <v>3</v>
      </c>
      <c r="F173" t="s">
        <v>65</v>
      </c>
      <c r="G173" t="s">
        <v>76</v>
      </c>
      <c r="H173" t="s">
        <v>78</v>
      </c>
      <c r="I173">
        <v>13019</v>
      </c>
      <c r="J173" s="2">
        <v>41814</v>
      </c>
      <c r="K173" t="s">
        <v>81</v>
      </c>
      <c r="L173" t="s">
        <v>83</v>
      </c>
      <c r="M173" s="2">
        <v>30847</v>
      </c>
      <c r="N173" t="s">
        <v>96</v>
      </c>
      <c r="O173">
        <v>7304</v>
      </c>
      <c r="P173">
        <v>3987</v>
      </c>
      <c r="Q173">
        <v>5175</v>
      </c>
      <c r="R173">
        <v>0.41</v>
      </c>
      <c r="S173" s="4">
        <v>4.3571100733802144</v>
      </c>
      <c r="T173" s="4">
        <v>7.6195489427205914</v>
      </c>
      <c r="U173">
        <v>91.656566978200601</v>
      </c>
      <c r="V173">
        <v>2</v>
      </c>
      <c r="W173">
        <v>160</v>
      </c>
      <c r="X173">
        <v>3</v>
      </c>
      <c r="Y173">
        <v>1</v>
      </c>
      <c r="Z173">
        <v>1</v>
      </c>
    </row>
    <row r="174" spans="1:26" x14ac:dyDescent="0.25">
      <c r="A174" t="s">
        <v>13</v>
      </c>
      <c r="B174">
        <v>4257</v>
      </c>
      <c r="C174" t="s">
        <v>18</v>
      </c>
      <c r="D174" t="s">
        <v>54</v>
      </c>
      <c r="E174">
        <v>4</v>
      </c>
      <c r="F174" t="s">
        <v>73</v>
      </c>
      <c r="G174" t="s">
        <v>75</v>
      </c>
      <c r="H174" t="s">
        <v>77</v>
      </c>
      <c r="I174">
        <v>31698</v>
      </c>
      <c r="J174" s="2">
        <v>43175</v>
      </c>
      <c r="K174" t="s">
        <v>81</v>
      </c>
      <c r="L174" t="s">
        <v>84</v>
      </c>
      <c r="M174" s="2">
        <v>25472</v>
      </c>
      <c r="N174" t="s">
        <v>85</v>
      </c>
      <c r="O174">
        <v>9195</v>
      </c>
      <c r="P174">
        <v>3010</v>
      </c>
      <c r="Q174">
        <v>5506</v>
      </c>
      <c r="R174">
        <v>0.11</v>
      </c>
      <c r="S174" s="4">
        <v>1.6506081747402499</v>
      </c>
      <c r="T174" s="4">
        <v>6.9158147069719202</v>
      </c>
      <c r="U174">
        <v>90.41916046988527</v>
      </c>
      <c r="V174">
        <v>7</v>
      </c>
      <c r="W174">
        <v>278</v>
      </c>
      <c r="X174">
        <v>4</v>
      </c>
      <c r="Y174">
        <v>1</v>
      </c>
      <c r="Z174">
        <v>0</v>
      </c>
    </row>
    <row r="175" spans="1:26" x14ac:dyDescent="0.25">
      <c r="A175" t="s">
        <v>15</v>
      </c>
      <c r="B175">
        <v>4130</v>
      </c>
      <c r="C175" t="s">
        <v>25</v>
      </c>
      <c r="D175" t="s">
        <v>56</v>
      </c>
      <c r="E175">
        <v>2</v>
      </c>
      <c r="F175" t="s">
        <v>65</v>
      </c>
      <c r="G175" t="s">
        <v>76</v>
      </c>
      <c r="H175" t="s">
        <v>78</v>
      </c>
      <c r="I175">
        <v>7634</v>
      </c>
      <c r="J175" s="2">
        <v>40483</v>
      </c>
      <c r="K175" t="s">
        <v>81</v>
      </c>
      <c r="L175" t="s">
        <v>83</v>
      </c>
      <c r="M175" s="2">
        <v>29268</v>
      </c>
      <c r="N175" t="s">
        <v>99</v>
      </c>
      <c r="O175">
        <v>11857</v>
      </c>
      <c r="P175">
        <v>15366</v>
      </c>
      <c r="Q175">
        <v>5504</v>
      </c>
      <c r="R175">
        <v>0.1</v>
      </c>
      <c r="S175" s="4">
        <v>4.2742076716496298</v>
      </c>
      <c r="T175" s="4">
        <v>7.8508814106713904</v>
      </c>
      <c r="U175">
        <v>93.96346545970853</v>
      </c>
      <c r="V175">
        <v>6</v>
      </c>
      <c r="W175">
        <v>284</v>
      </c>
      <c r="X175">
        <v>4</v>
      </c>
      <c r="Y175">
        <v>1</v>
      </c>
      <c r="Z175">
        <v>0</v>
      </c>
    </row>
    <row r="176" spans="1:26" x14ac:dyDescent="0.25">
      <c r="A176" t="s">
        <v>16</v>
      </c>
      <c r="B176">
        <v>1372</v>
      </c>
      <c r="C176" t="s">
        <v>41</v>
      </c>
      <c r="D176" t="s">
        <v>61</v>
      </c>
      <c r="F176" t="s">
        <v>66</v>
      </c>
      <c r="G176" t="s">
        <v>76</v>
      </c>
      <c r="H176" t="s">
        <v>80</v>
      </c>
      <c r="I176">
        <v>32568</v>
      </c>
      <c r="J176" s="2">
        <v>40689</v>
      </c>
      <c r="K176" t="s">
        <v>82</v>
      </c>
      <c r="L176" t="s">
        <v>83</v>
      </c>
      <c r="M176" s="2">
        <v>29645</v>
      </c>
      <c r="N176" t="s">
        <v>96</v>
      </c>
      <c r="O176">
        <v>5000</v>
      </c>
      <c r="P176">
        <v>5769</v>
      </c>
      <c r="Q176">
        <v>5450</v>
      </c>
      <c r="R176">
        <v>0.7</v>
      </c>
      <c r="S176" s="4">
        <v>4.255471791557305</v>
      </c>
      <c r="T176" s="4">
        <v>5.8491800454182599</v>
      </c>
      <c r="U176">
        <v>89.795382685620098</v>
      </c>
      <c r="V176">
        <v>2</v>
      </c>
      <c r="W176">
        <v>274</v>
      </c>
      <c r="X176">
        <v>4</v>
      </c>
      <c r="Y176">
        <v>1</v>
      </c>
      <c r="Z176">
        <v>0</v>
      </c>
    </row>
    <row r="177" spans="1:26" x14ac:dyDescent="0.25">
      <c r="A177" t="s">
        <v>15</v>
      </c>
      <c r="B177">
        <v>5391</v>
      </c>
      <c r="C177" t="s">
        <v>25</v>
      </c>
      <c r="D177" t="s">
        <v>56</v>
      </c>
      <c r="E177">
        <v>2</v>
      </c>
      <c r="F177" t="s">
        <v>65</v>
      </c>
      <c r="G177" t="s">
        <v>76</v>
      </c>
      <c r="H177" t="s">
        <v>78</v>
      </c>
      <c r="I177">
        <v>7634</v>
      </c>
      <c r="J177" s="2">
        <v>40483</v>
      </c>
      <c r="K177" t="s">
        <v>81</v>
      </c>
      <c r="L177" t="s">
        <v>83</v>
      </c>
      <c r="M177" s="2">
        <v>30384</v>
      </c>
      <c r="N177" t="s">
        <v>94</v>
      </c>
      <c r="O177">
        <v>10325</v>
      </c>
      <c r="P177">
        <v>7285</v>
      </c>
      <c r="Q177">
        <v>5674</v>
      </c>
      <c r="R177">
        <v>0.54</v>
      </c>
      <c r="S177" s="4">
        <v>1.2334837945633748</v>
      </c>
      <c r="T177" s="4">
        <v>8.8702187609662833</v>
      </c>
      <c r="U177">
        <v>92.519189010375058</v>
      </c>
      <c r="V177">
        <v>4</v>
      </c>
      <c r="W177">
        <v>164</v>
      </c>
      <c r="X177">
        <v>2</v>
      </c>
      <c r="Y177">
        <v>1</v>
      </c>
      <c r="Z177">
        <v>0</v>
      </c>
    </row>
    <row r="178" spans="1:26" x14ac:dyDescent="0.25">
      <c r="A178" t="s">
        <v>16</v>
      </c>
      <c r="B178">
        <v>6631</v>
      </c>
      <c r="C178" t="s">
        <v>41</v>
      </c>
      <c r="D178" t="s">
        <v>61</v>
      </c>
      <c r="F178" t="s">
        <v>66</v>
      </c>
      <c r="G178" t="s">
        <v>76</v>
      </c>
      <c r="H178" t="s">
        <v>80</v>
      </c>
      <c r="I178">
        <v>32568</v>
      </c>
      <c r="J178" s="2">
        <v>40689</v>
      </c>
      <c r="K178" t="s">
        <v>82</v>
      </c>
      <c r="L178" t="s">
        <v>83</v>
      </c>
      <c r="M178" s="2">
        <v>29645</v>
      </c>
      <c r="N178" t="s">
        <v>88</v>
      </c>
      <c r="O178">
        <v>13412</v>
      </c>
      <c r="P178">
        <v>14880</v>
      </c>
      <c r="Q178">
        <v>5599</v>
      </c>
      <c r="R178">
        <v>0.41</v>
      </c>
      <c r="S178" s="4">
        <v>4.5546524067425178</v>
      </c>
      <c r="T178" s="4">
        <v>7.0376825410235959</v>
      </c>
      <c r="U178">
        <v>89.399585586890311</v>
      </c>
      <c r="V178">
        <v>2</v>
      </c>
      <c r="W178">
        <v>148</v>
      </c>
      <c r="X178">
        <v>3</v>
      </c>
      <c r="Y178">
        <v>1</v>
      </c>
      <c r="Z178">
        <v>0</v>
      </c>
    </row>
    <row r="179" spans="1:26" x14ac:dyDescent="0.25">
      <c r="A179" t="s">
        <v>15</v>
      </c>
      <c r="B179">
        <v>4493</v>
      </c>
      <c r="C179" t="s">
        <v>25</v>
      </c>
      <c r="D179" t="s">
        <v>56</v>
      </c>
      <c r="E179">
        <v>1</v>
      </c>
      <c r="F179" t="s">
        <v>65</v>
      </c>
      <c r="G179" t="s">
        <v>76</v>
      </c>
      <c r="H179" t="s">
        <v>78</v>
      </c>
      <c r="I179">
        <v>7586</v>
      </c>
      <c r="J179" s="2">
        <v>40483</v>
      </c>
      <c r="K179" t="s">
        <v>81</v>
      </c>
      <c r="L179" t="s">
        <v>83</v>
      </c>
      <c r="M179" s="2">
        <v>24990</v>
      </c>
      <c r="N179" t="s">
        <v>91</v>
      </c>
      <c r="O179">
        <v>8964</v>
      </c>
      <c r="P179">
        <v>11510</v>
      </c>
      <c r="Q179">
        <v>5482</v>
      </c>
      <c r="R179">
        <v>0.38</v>
      </c>
      <c r="S179" s="4">
        <v>2.7373854987619128</v>
      </c>
      <c r="T179" s="4">
        <v>6.6439396018293539</v>
      </c>
      <c r="U179">
        <v>84.374669587743227</v>
      </c>
      <c r="V179">
        <v>2</v>
      </c>
      <c r="W179">
        <v>140</v>
      </c>
      <c r="X179">
        <v>3</v>
      </c>
      <c r="Y179">
        <v>1</v>
      </c>
      <c r="Z179">
        <v>0</v>
      </c>
    </row>
    <row r="180" spans="1:26" x14ac:dyDescent="0.25">
      <c r="A180" t="s">
        <v>16</v>
      </c>
      <c r="B180">
        <v>3714</v>
      </c>
      <c r="C180" t="s">
        <v>41</v>
      </c>
      <c r="D180" t="s">
        <v>61</v>
      </c>
      <c r="F180" t="s">
        <v>66</v>
      </c>
      <c r="G180" t="s">
        <v>76</v>
      </c>
      <c r="H180" t="s">
        <v>80</v>
      </c>
      <c r="I180">
        <v>32956</v>
      </c>
      <c r="J180" s="2">
        <v>40689</v>
      </c>
      <c r="K180" t="s">
        <v>82</v>
      </c>
      <c r="L180" t="s">
        <v>83</v>
      </c>
      <c r="M180" s="2">
        <v>29645</v>
      </c>
      <c r="N180" t="s">
        <v>93</v>
      </c>
      <c r="O180">
        <v>10449</v>
      </c>
      <c r="P180">
        <v>13027</v>
      </c>
      <c r="Q180">
        <v>5255</v>
      </c>
      <c r="R180">
        <v>0.37</v>
      </c>
      <c r="S180" s="4">
        <v>1.6037947862918895</v>
      </c>
      <c r="T180" s="4">
        <v>6.8564872010532003</v>
      </c>
      <c r="U180">
        <v>96.861513827419571</v>
      </c>
      <c r="V180">
        <v>2</v>
      </c>
      <c r="W180">
        <v>127</v>
      </c>
      <c r="X180">
        <v>3</v>
      </c>
      <c r="Y180">
        <v>1</v>
      </c>
      <c r="Z180">
        <v>0</v>
      </c>
    </row>
    <row r="181" spans="1:26" x14ac:dyDescent="0.25">
      <c r="A181" t="s">
        <v>17</v>
      </c>
      <c r="B181">
        <v>7080</v>
      </c>
      <c r="C181" t="s">
        <v>28</v>
      </c>
      <c r="D181" t="s">
        <v>55</v>
      </c>
      <c r="E181">
        <v>3</v>
      </c>
      <c r="F181" t="s">
        <v>67</v>
      </c>
      <c r="G181" t="s">
        <v>76</v>
      </c>
      <c r="H181" t="s">
        <v>79</v>
      </c>
      <c r="I181">
        <v>19936</v>
      </c>
      <c r="J181" s="2">
        <v>41003</v>
      </c>
      <c r="K181" t="s">
        <v>82</v>
      </c>
      <c r="L181" t="s">
        <v>83</v>
      </c>
      <c r="M181" s="2">
        <v>27422</v>
      </c>
      <c r="N181" t="s">
        <v>98</v>
      </c>
      <c r="O181">
        <v>11738</v>
      </c>
      <c r="P181">
        <v>16008</v>
      </c>
      <c r="Q181">
        <v>5733</v>
      </c>
      <c r="R181">
        <v>0.11</v>
      </c>
      <c r="S181" s="4">
        <v>4.5265012112106229</v>
      </c>
      <c r="T181" s="4">
        <v>6.4770518943548261</v>
      </c>
      <c r="U181">
        <v>89.803940880742942</v>
      </c>
      <c r="V181">
        <v>6</v>
      </c>
      <c r="W181">
        <v>308</v>
      </c>
      <c r="X181">
        <v>5</v>
      </c>
      <c r="Y181">
        <v>1</v>
      </c>
      <c r="Z181">
        <v>0</v>
      </c>
    </row>
    <row r="182" spans="1:26" x14ac:dyDescent="0.25">
      <c r="A182" t="s">
        <v>14</v>
      </c>
      <c r="B182">
        <v>9577</v>
      </c>
      <c r="C182" t="s">
        <v>30</v>
      </c>
      <c r="D182" t="s">
        <v>56</v>
      </c>
      <c r="E182">
        <v>3</v>
      </c>
      <c r="F182" t="s">
        <v>65</v>
      </c>
      <c r="G182" t="s">
        <v>76</v>
      </c>
      <c r="H182" t="s">
        <v>78</v>
      </c>
      <c r="I182">
        <v>13019</v>
      </c>
      <c r="J182" s="2">
        <v>41814</v>
      </c>
      <c r="K182" t="s">
        <v>81</v>
      </c>
      <c r="L182" t="s">
        <v>83</v>
      </c>
      <c r="M182" s="2">
        <v>30168</v>
      </c>
      <c r="N182" t="s">
        <v>87</v>
      </c>
      <c r="O182">
        <v>13806</v>
      </c>
      <c r="P182">
        <v>9937</v>
      </c>
      <c r="Q182">
        <v>5490</v>
      </c>
      <c r="R182">
        <v>0.4</v>
      </c>
      <c r="S182" s="4">
        <v>3.3981296451103242</v>
      </c>
      <c r="T182" s="4">
        <v>9.7073709439305738</v>
      </c>
      <c r="U182">
        <v>86.386904016218992</v>
      </c>
      <c r="V182">
        <v>2</v>
      </c>
      <c r="W182">
        <v>146</v>
      </c>
      <c r="X182">
        <v>3</v>
      </c>
      <c r="Y182">
        <v>1</v>
      </c>
      <c r="Z182">
        <v>0</v>
      </c>
    </row>
    <row r="183" spans="1:26" x14ac:dyDescent="0.25">
      <c r="A183" t="s">
        <v>13</v>
      </c>
      <c r="B183">
        <v>1330</v>
      </c>
      <c r="C183" t="s">
        <v>18</v>
      </c>
      <c r="D183" t="s">
        <v>52</v>
      </c>
      <c r="E183">
        <v>6</v>
      </c>
      <c r="F183" t="s">
        <v>62</v>
      </c>
      <c r="G183" t="s">
        <v>75</v>
      </c>
      <c r="H183" t="s">
        <v>77</v>
      </c>
      <c r="I183">
        <v>21007</v>
      </c>
      <c r="J183" s="2">
        <v>43175</v>
      </c>
      <c r="K183" t="s">
        <v>81</v>
      </c>
      <c r="L183" t="s">
        <v>84</v>
      </c>
      <c r="M183" s="2">
        <v>31103</v>
      </c>
      <c r="N183" t="s">
        <v>90</v>
      </c>
      <c r="O183">
        <v>13901</v>
      </c>
      <c r="P183">
        <v>8523</v>
      </c>
      <c r="Q183">
        <v>5422</v>
      </c>
      <c r="R183">
        <v>0.1</v>
      </c>
      <c r="S183" s="4">
        <v>1.5640155408970573</v>
      </c>
      <c r="T183" s="4">
        <v>8.0850291967090548</v>
      </c>
      <c r="U183">
        <v>86.7227973290275</v>
      </c>
      <c r="V183">
        <v>6</v>
      </c>
      <c r="W183">
        <v>261</v>
      </c>
      <c r="X183">
        <v>4</v>
      </c>
      <c r="Y183">
        <v>1</v>
      </c>
      <c r="Z183">
        <v>0</v>
      </c>
    </row>
    <row r="184" spans="1:26" x14ac:dyDescent="0.25">
      <c r="A184" t="s">
        <v>15</v>
      </c>
      <c r="B184">
        <v>8231</v>
      </c>
      <c r="C184" t="s">
        <v>25</v>
      </c>
      <c r="D184" t="s">
        <v>56</v>
      </c>
      <c r="E184">
        <v>2</v>
      </c>
      <c r="F184" t="s">
        <v>65</v>
      </c>
      <c r="G184" t="s">
        <v>76</v>
      </c>
      <c r="H184" t="s">
        <v>78</v>
      </c>
      <c r="I184">
        <v>7634</v>
      </c>
      <c r="J184" s="2">
        <v>40483</v>
      </c>
      <c r="K184" t="s">
        <v>81</v>
      </c>
      <c r="L184" t="s">
        <v>83</v>
      </c>
      <c r="M184" s="2">
        <v>28769</v>
      </c>
      <c r="N184" t="s">
        <v>94</v>
      </c>
      <c r="O184">
        <v>17894</v>
      </c>
      <c r="P184">
        <v>10386</v>
      </c>
      <c r="Q184">
        <v>5689</v>
      </c>
      <c r="R184">
        <v>0.89</v>
      </c>
      <c r="S184" s="4">
        <v>4.1087348992841193</v>
      </c>
      <c r="T184" s="4">
        <v>5.9262463895754491</v>
      </c>
      <c r="U184">
        <v>97.75066937343297</v>
      </c>
      <c r="V184">
        <v>5</v>
      </c>
      <c r="W184">
        <v>257</v>
      </c>
      <c r="X184">
        <v>5</v>
      </c>
      <c r="Y184">
        <v>1</v>
      </c>
      <c r="Z184">
        <v>0</v>
      </c>
    </row>
    <row r="185" spans="1:26" x14ac:dyDescent="0.25">
      <c r="A185" t="s">
        <v>16</v>
      </c>
      <c r="B185">
        <v>1017</v>
      </c>
      <c r="C185" t="s">
        <v>41</v>
      </c>
      <c r="D185" t="s">
        <v>61</v>
      </c>
      <c r="F185" t="s">
        <v>66</v>
      </c>
      <c r="G185" t="s">
        <v>76</v>
      </c>
      <c r="H185" t="s">
        <v>80</v>
      </c>
      <c r="I185">
        <v>32956</v>
      </c>
      <c r="J185" s="2">
        <v>40689</v>
      </c>
      <c r="K185" t="s">
        <v>82</v>
      </c>
      <c r="L185" t="s">
        <v>83</v>
      </c>
      <c r="M185" s="2">
        <v>29645</v>
      </c>
      <c r="N185" t="s">
        <v>91</v>
      </c>
      <c r="O185">
        <v>11024</v>
      </c>
      <c r="P185">
        <v>13139</v>
      </c>
      <c r="Q185">
        <v>5149</v>
      </c>
      <c r="R185">
        <v>0.11</v>
      </c>
      <c r="S185" s="4">
        <v>2.1180783699459789</v>
      </c>
      <c r="T185" s="4">
        <v>8.9509541113900681</v>
      </c>
      <c r="U185">
        <v>81.121245788853628</v>
      </c>
      <c r="V185">
        <v>6</v>
      </c>
      <c r="W185">
        <v>285</v>
      </c>
      <c r="X185">
        <v>4</v>
      </c>
      <c r="Y185">
        <v>1</v>
      </c>
      <c r="Z185">
        <v>0</v>
      </c>
    </row>
    <row r="186" spans="1:26" x14ac:dyDescent="0.25">
      <c r="A186" t="s">
        <v>17</v>
      </c>
      <c r="B186">
        <v>7451</v>
      </c>
      <c r="C186" t="s">
        <v>31</v>
      </c>
      <c r="D186" t="s">
        <v>55</v>
      </c>
      <c r="E186">
        <v>3</v>
      </c>
      <c r="F186" t="s">
        <v>68</v>
      </c>
      <c r="G186" t="s">
        <v>76</v>
      </c>
      <c r="H186" t="s">
        <v>79</v>
      </c>
      <c r="I186">
        <v>23583</v>
      </c>
      <c r="J186" s="2">
        <v>41003</v>
      </c>
      <c r="K186" t="s">
        <v>82</v>
      </c>
      <c r="L186" t="s">
        <v>83</v>
      </c>
      <c r="M186" s="2">
        <v>29298</v>
      </c>
      <c r="N186" t="s">
        <v>98</v>
      </c>
      <c r="O186">
        <v>8116</v>
      </c>
      <c r="P186">
        <v>16474</v>
      </c>
      <c r="Q186">
        <v>5403</v>
      </c>
      <c r="R186">
        <v>0.36</v>
      </c>
      <c r="S186" s="4">
        <v>3.1206862799914727</v>
      </c>
      <c r="T186" s="4">
        <v>5.7957226807512079</v>
      </c>
      <c r="U186">
        <v>96.822254489489325</v>
      </c>
      <c r="V186">
        <v>2</v>
      </c>
      <c r="W186">
        <v>141</v>
      </c>
      <c r="X186">
        <v>3</v>
      </c>
      <c r="Y186">
        <v>1</v>
      </c>
      <c r="Z186">
        <v>0</v>
      </c>
    </row>
    <row r="187" spans="1:26" x14ac:dyDescent="0.25">
      <c r="A187" t="s">
        <v>14</v>
      </c>
      <c r="B187">
        <v>7258</v>
      </c>
      <c r="C187" t="s">
        <v>33</v>
      </c>
      <c r="D187" t="s">
        <v>56</v>
      </c>
      <c r="E187">
        <v>3</v>
      </c>
      <c r="F187" t="s">
        <v>65</v>
      </c>
      <c r="G187" t="s">
        <v>76</v>
      </c>
      <c r="H187" t="s">
        <v>78</v>
      </c>
      <c r="I187">
        <v>13019</v>
      </c>
      <c r="J187" s="2">
        <v>41814</v>
      </c>
      <c r="K187" t="s">
        <v>81</v>
      </c>
      <c r="L187" t="s">
        <v>83</v>
      </c>
      <c r="M187" s="2">
        <v>26019</v>
      </c>
      <c r="N187" t="s">
        <v>98</v>
      </c>
      <c r="O187">
        <v>10858</v>
      </c>
      <c r="P187">
        <v>9518</v>
      </c>
      <c r="Q187">
        <v>5831</v>
      </c>
      <c r="R187">
        <v>0.4</v>
      </c>
      <c r="S187" s="4">
        <v>1.1952571041393649</v>
      </c>
      <c r="T187" s="4">
        <v>9.1572981509846869</v>
      </c>
      <c r="U187">
        <v>91.619132214449721</v>
      </c>
      <c r="V187">
        <v>2</v>
      </c>
      <c r="W187">
        <v>127</v>
      </c>
      <c r="X187">
        <v>3</v>
      </c>
      <c r="Y187">
        <v>1</v>
      </c>
      <c r="Z187">
        <v>0</v>
      </c>
    </row>
    <row r="188" spans="1:26" x14ac:dyDescent="0.25">
      <c r="A188" t="s">
        <v>13</v>
      </c>
      <c r="B188">
        <v>1322</v>
      </c>
      <c r="C188" t="s">
        <v>18</v>
      </c>
      <c r="D188" t="s">
        <v>52</v>
      </c>
      <c r="E188">
        <v>8</v>
      </c>
      <c r="F188" t="s">
        <v>62</v>
      </c>
      <c r="G188" t="s">
        <v>75</v>
      </c>
      <c r="H188" t="s">
        <v>77</v>
      </c>
      <c r="I188">
        <v>21624</v>
      </c>
      <c r="J188" s="2">
        <v>43175</v>
      </c>
      <c r="K188" t="s">
        <v>81</v>
      </c>
      <c r="L188" t="s">
        <v>84</v>
      </c>
      <c r="M188" s="2">
        <v>29118</v>
      </c>
      <c r="N188" t="s">
        <v>91</v>
      </c>
      <c r="O188">
        <v>14644</v>
      </c>
      <c r="P188">
        <v>14408</v>
      </c>
      <c r="Q188">
        <v>5575</v>
      </c>
      <c r="R188">
        <v>0.09</v>
      </c>
      <c r="S188" s="4">
        <v>1.0125984184115047</v>
      </c>
      <c r="T188" s="4">
        <v>5.7507577723806476</v>
      </c>
      <c r="U188">
        <v>92.036297841261558</v>
      </c>
      <c r="V188">
        <v>6</v>
      </c>
      <c r="W188">
        <v>297</v>
      </c>
      <c r="X188">
        <v>4</v>
      </c>
      <c r="Y188">
        <v>1</v>
      </c>
      <c r="Z188">
        <v>0</v>
      </c>
    </row>
    <row r="189" spans="1:26" x14ac:dyDescent="0.25">
      <c r="A189" t="s">
        <v>15</v>
      </c>
      <c r="B189">
        <v>1079</v>
      </c>
      <c r="C189" t="s">
        <v>25</v>
      </c>
      <c r="D189" t="s">
        <v>56</v>
      </c>
      <c r="E189">
        <v>2</v>
      </c>
      <c r="F189" t="s">
        <v>65</v>
      </c>
      <c r="G189" t="s">
        <v>76</v>
      </c>
      <c r="H189" t="s">
        <v>78</v>
      </c>
      <c r="I189">
        <v>7634</v>
      </c>
      <c r="J189" s="2">
        <v>40483</v>
      </c>
      <c r="K189" t="s">
        <v>81</v>
      </c>
      <c r="L189" t="s">
        <v>83</v>
      </c>
      <c r="M189" s="2">
        <v>25642</v>
      </c>
      <c r="N189" t="s">
        <v>95</v>
      </c>
      <c r="O189">
        <v>15967</v>
      </c>
      <c r="P189">
        <v>6843</v>
      </c>
      <c r="Q189">
        <v>5378</v>
      </c>
      <c r="R189">
        <v>0.4</v>
      </c>
      <c r="S189" s="4">
        <v>1.5879704616820924</v>
      </c>
      <c r="T189" s="4">
        <v>9.7867766020554612</v>
      </c>
      <c r="U189">
        <v>83.60500043042218</v>
      </c>
      <c r="V189">
        <v>2</v>
      </c>
      <c r="W189">
        <v>143</v>
      </c>
      <c r="X189">
        <v>3</v>
      </c>
      <c r="Y189">
        <v>1</v>
      </c>
      <c r="Z189">
        <v>0</v>
      </c>
    </row>
    <row r="190" spans="1:26" x14ac:dyDescent="0.25">
      <c r="A190" t="s">
        <v>16</v>
      </c>
      <c r="B190">
        <v>4227</v>
      </c>
      <c r="C190" t="s">
        <v>41</v>
      </c>
      <c r="D190" t="s">
        <v>61</v>
      </c>
      <c r="F190" t="s">
        <v>66</v>
      </c>
      <c r="G190" t="s">
        <v>76</v>
      </c>
      <c r="H190" t="s">
        <v>80</v>
      </c>
      <c r="I190">
        <v>32956</v>
      </c>
      <c r="J190" s="2">
        <v>40689</v>
      </c>
      <c r="K190" t="s">
        <v>82</v>
      </c>
      <c r="L190" t="s">
        <v>83</v>
      </c>
      <c r="M190" s="2">
        <v>29645</v>
      </c>
      <c r="N190" t="s">
        <v>90</v>
      </c>
      <c r="O190">
        <v>13269</v>
      </c>
      <c r="P190">
        <v>15070</v>
      </c>
      <c r="Q190">
        <v>5242</v>
      </c>
      <c r="R190">
        <v>0.37</v>
      </c>
      <c r="S190" s="4">
        <v>2.0635356266704936</v>
      </c>
      <c r="T190" s="4">
        <v>8.2991764907426013</v>
      </c>
      <c r="U190">
        <v>81.513113787369605</v>
      </c>
      <c r="V190">
        <v>2</v>
      </c>
      <c r="W190">
        <v>152</v>
      </c>
      <c r="X190">
        <v>3</v>
      </c>
      <c r="Y190">
        <v>1</v>
      </c>
      <c r="Z190">
        <v>0</v>
      </c>
    </row>
    <row r="191" spans="1:26" x14ac:dyDescent="0.25">
      <c r="A191" t="s">
        <v>17</v>
      </c>
      <c r="B191">
        <v>2861</v>
      </c>
      <c r="C191" t="s">
        <v>28</v>
      </c>
      <c r="D191" t="s">
        <v>55</v>
      </c>
      <c r="E191">
        <v>3</v>
      </c>
      <c r="F191" t="s">
        <v>67</v>
      </c>
      <c r="G191" t="s">
        <v>76</v>
      </c>
      <c r="H191" t="s">
        <v>79</v>
      </c>
      <c r="I191">
        <v>19936</v>
      </c>
      <c r="J191" s="2">
        <v>41003</v>
      </c>
      <c r="K191" t="s">
        <v>82</v>
      </c>
      <c r="L191" t="s">
        <v>83</v>
      </c>
      <c r="M191" s="2">
        <v>27422</v>
      </c>
      <c r="N191" t="s">
        <v>98</v>
      </c>
      <c r="O191">
        <v>19715</v>
      </c>
      <c r="P191">
        <v>17139</v>
      </c>
      <c r="Q191">
        <v>5935</v>
      </c>
      <c r="R191">
        <v>0.44</v>
      </c>
      <c r="S191" s="4">
        <v>1.1433525333911394</v>
      </c>
      <c r="T191" s="4">
        <v>8.4971847897294435</v>
      </c>
      <c r="U191">
        <v>89.851705546811218</v>
      </c>
      <c r="V191">
        <v>2</v>
      </c>
      <c r="W191">
        <v>156</v>
      </c>
      <c r="X191">
        <v>3</v>
      </c>
      <c r="Y191">
        <v>1</v>
      </c>
      <c r="Z191">
        <v>0</v>
      </c>
    </row>
    <row r="192" spans="1:26" x14ac:dyDescent="0.25">
      <c r="A192" t="s">
        <v>14</v>
      </c>
      <c r="B192">
        <v>7169</v>
      </c>
      <c r="C192" t="s">
        <v>29</v>
      </c>
      <c r="D192" t="s">
        <v>57</v>
      </c>
      <c r="E192">
        <v>3</v>
      </c>
      <c r="F192" t="s">
        <v>65</v>
      </c>
      <c r="G192" t="s">
        <v>76</v>
      </c>
      <c r="H192" t="s">
        <v>78</v>
      </c>
      <c r="I192">
        <v>8751</v>
      </c>
      <c r="J192" s="2">
        <v>41814</v>
      </c>
      <c r="K192" t="s">
        <v>81</v>
      </c>
      <c r="L192" t="s">
        <v>83</v>
      </c>
      <c r="M192" s="2">
        <v>27256</v>
      </c>
      <c r="N192" t="s">
        <v>93</v>
      </c>
      <c r="O192">
        <v>15610</v>
      </c>
      <c r="P192">
        <v>14710</v>
      </c>
      <c r="Q192">
        <v>5977</v>
      </c>
      <c r="R192">
        <v>0.09</v>
      </c>
      <c r="S192" s="4">
        <v>2.0279034372114166</v>
      </c>
      <c r="T192" s="4">
        <v>7.9361085417132644</v>
      </c>
      <c r="U192">
        <v>89.736480368107891</v>
      </c>
      <c r="V192">
        <v>7</v>
      </c>
      <c r="W192">
        <v>283</v>
      </c>
      <c r="X192">
        <v>5</v>
      </c>
      <c r="Y192">
        <v>1</v>
      </c>
      <c r="Z192">
        <v>0</v>
      </c>
    </row>
    <row r="193" spans="1:26" x14ac:dyDescent="0.25">
      <c r="A193" t="s">
        <v>13</v>
      </c>
      <c r="B193">
        <v>3057</v>
      </c>
      <c r="C193" t="s">
        <v>18</v>
      </c>
      <c r="D193" t="s">
        <v>55</v>
      </c>
      <c r="E193">
        <v>2</v>
      </c>
      <c r="F193" t="s">
        <v>74</v>
      </c>
      <c r="G193" t="s">
        <v>75</v>
      </c>
      <c r="H193" t="s">
        <v>77</v>
      </c>
      <c r="I193">
        <v>26545</v>
      </c>
      <c r="J193" s="2">
        <v>43175</v>
      </c>
      <c r="K193" t="s">
        <v>81</v>
      </c>
      <c r="L193" t="s">
        <v>84</v>
      </c>
      <c r="M193" s="2">
        <v>29808</v>
      </c>
      <c r="N193" t="s">
        <v>85</v>
      </c>
      <c r="O193">
        <v>14930</v>
      </c>
      <c r="P193">
        <v>4428</v>
      </c>
      <c r="Q193">
        <v>5978</v>
      </c>
      <c r="R193">
        <v>0.92</v>
      </c>
      <c r="S193" s="4">
        <v>1.2074789859559623</v>
      </c>
      <c r="T193" s="4">
        <v>9.2352152748202982</v>
      </c>
      <c r="U193">
        <v>80.651397384861397</v>
      </c>
      <c r="V193">
        <v>4</v>
      </c>
      <c r="W193">
        <v>226</v>
      </c>
      <c r="X193">
        <v>6</v>
      </c>
      <c r="Y193">
        <v>1</v>
      </c>
      <c r="Z193">
        <v>0</v>
      </c>
    </row>
    <row r="194" spans="1:26" x14ac:dyDescent="0.25">
      <c r="A194" t="s">
        <v>15</v>
      </c>
      <c r="B194">
        <v>4408</v>
      </c>
      <c r="C194" t="s">
        <v>25</v>
      </c>
      <c r="D194" t="s">
        <v>56</v>
      </c>
      <c r="E194">
        <v>2</v>
      </c>
      <c r="F194" t="s">
        <v>65</v>
      </c>
      <c r="G194" t="s">
        <v>76</v>
      </c>
      <c r="H194" t="s">
        <v>78</v>
      </c>
      <c r="I194">
        <v>7634</v>
      </c>
      <c r="J194" s="2">
        <v>40483</v>
      </c>
      <c r="K194" t="s">
        <v>81</v>
      </c>
      <c r="L194" t="s">
        <v>83</v>
      </c>
      <c r="M194" s="2">
        <v>29419</v>
      </c>
      <c r="N194" t="s">
        <v>94</v>
      </c>
      <c r="O194">
        <v>10024</v>
      </c>
      <c r="P194">
        <v>7815</v>
      </c>
      <c r="Q194">
        <v>5846</v>
      </c>
      <c r="R194">
        <v>0.74</v>
      </c>
      <c r="S194" s="4">
        <v>3.2747907340940059</v>
      </c>
      <c r="T194" s="4">
        <v>6.1899896252249675</v>
      </c>
      <c r="U194">
        <v>90.768060598184888</v>
      </c>
      <c r="V194">
        <v>4</v>
      </c>
      <c r="W194">
        <v>232</v>
      </c>
      <c r="X194">
        <v>5</v>
      </c>
      <c r="Y194">
        <v>1</v>
      </c>
      <c r="Z194">
        <v>0</v>
      </c>
    </row>
    <row r="195" spans="1:26" x14ac:dyDescent="0.25">
      <c r="A195" t="s">
        <v>16</v>
      </c>
      <c r="B195">
        <v>2941</v>
      </c>
      <c r="C195" t="s">
        <v>41</v>
      </c>
      <c r="D195" t="s">
        <v>61</v>
      </c>
      <c r="F195" t="s">
        <v>66</v>
      </c>
      <c r="G195" t="s">
        <v>76</v>
      </c>
      <c r="H195" t="s">
        <v>80</v>
      </c>
      <c r="I195">
        <v>32956</v>
      </c>
      <c r="J195" s="2">
        <v>40689</v>
      </c>
      <c r="K195" t="s">
        <v>82</v>
      </c>
      <c r="L195" t="s">
        <v>83</v>
      </c>
      <c r="M195" s="2">
        <v>29645</v>
      </c>
      <c r="N195" t="s">
        <v>95</v>
      </c>
      <c r="O195">
        <v>7775</v>
      </c>
      <c r="P195">
        <v>16209</v>
      </c>
      <c r="Q195">
        <v>5460</v>
      </c>
      <c r="R195">
        <v>0.09</v>
      </c>
      <c r="S195" s="4">
        <v>2.1476300828487407</v>
      </c>
      <c r="T195" s="4">
        <v>9.5595280180912354</v>
      </c>
      <c r="U195">
        <v>86.868216218813217</v>
      </c>
      <c r="V195">
        <v>6</v>
      </c>
      <c r="W195">
        <v>249</v>
      </c>
      <c r="X195">
        <v>4</v>
      </c>
      <c r="Y195">
        <v>1</v>
      </c>
      <c r="Z195">
        <v>0</v>
      </c>
    </row>
    <row r="196" spans="1:26" x14ac:dyDescent="0.25">
      <c r="A196" t="s">
        <v>15</v>
      </c>
      <c r="B196">
        <v>7627</v>
      </c>
      <c r="C196" t="s">
        <v>23</v>
      </c>
      <c r="D196" t="s">
        <v>55</v>
      </c>
      <c r="E196">
        <v>2</v>
      </c>
      <c r="F196" t="s">
        <v>65</v>
      </c>
      <c r="G196" t="s">
        <v>76</v>
      </c>
      <c r="H196" t="s">
        <v>79</v>
      </c>
      <c r="I196">
        <v>14907</v>
      </c>
      <c r="J196" s="2">
        <v>40483</v>
      </c>
      <c r="K196" t="s">
        <v>81</v>
      </c>
      <c r="L196" t="s">
        <v>83</v>
      </c>
      <c r="M196" s="2">
        <v>25197</v>
      </c>
      <c r="N196" t="s">
        <v>99</v>
      </c>
      <c r="O196">
        <v>9933</v>
      </c>
      <c r="P196">
        <v>15293</v>
      </c>
      <c r="Q196">
        <v>5778</v>
      </c>
      <c r="R196">
        <v>0.89</v>
      </c>
      <c r="S196" s="4">
        <v>1.4708599776829452</v>
      </c>
      <c r="T196" s="4">
        <v>9.4748470318249289</v>
      </c>
      <c r="U196">
        <v>99.332179196455257</v>
      </c>
      <c r="V196">
        <v>4</v>
      </c>
      <c r="W196">
        <v>275</v>
      </c>
      <c r="X196">
        <v>5</v>
      </c>
      <c r="Y196">
        <v>1</v>
      </c>
      <c r="Z196">
        <v>0</v>
      </c>
    </row>
    <row r="197" spans="1:26" x14ac:dyDescent="0.25">
      <c r="A197" t="s">
        <v>16</v>
      </c>
      <c r="B197">
        <v>6683</v>
      </c>
      <c r="C197" t="s">
        <v>41</v>
      </c>
      <c r="D197" t="s">
        <v>61</v>
      </c>
      <c r="F197" t="s">
        <v>66</v>
      </c>
      <c r="G197" t="s">
        <v>76</v>
      </c>
      <c r="H197" t="s">
        <v>80</v>
      </c>
      <c r="I197">
        <v>32956</v>
      </c>
      <c r="J197" s="2">
        <v>40689</v>
      </c>
      <c r="K197" t="s">
        <v>82</v>
      </c>
      <c r="L197" t="s">
        <v>83</v>
      </c>
      <c r="M197" s="2">
        <v>29645</v>
      </c>
      <c r="N197" t="s">
        <v>92</v>
      </c>
      <c r="O197">
        <v>9656</v>
      </c>
      <c r="P197">
        <v>6048</v>
      </c>
      <c r="Q197">
        <v>5569</v>
      </c>
      <c r="R197">
        <v>0.09</v>
      </c>
      <c r="S197" s="4">
        <v>3.7395674862249977</v>
      </c>
      <c r="T197" s="4">
        <v>8.862626173185939</v>
      </c>
      <c r="U197">
        <v>94.605532264378667</v>
      </c>
      <c r="V197">
        <v>6</v>
      </c>
      <c r="W197">
        <v>304</v>
      </c>
      <c r="X197">
        <v>4</v>
      </c>
      <c r="Y197">
        <v>1</v>
      </c>
      <c r="Z197">
        <v>0</v>
      </c>
    </row>
    <row r="198" spans="1:26" x14ac:dyDescent="0.25">
      <c r="A198" t="s">
        <v>17</v>
      </c>
      <c r="B198">
        <v>8218</v>
      </c>
      <c r="C198" t="s">
        <v>31</v>
      </c>
      <c r="D198" t="s">
        <v>55</v>
      </c>
      <c r="E198">
        <v>3</v>
      </c>
      <c r="F198" t="s">
        <v>68</v>
      </c>
      <c r="G198" t="s">
        <v>76</v>
      </c>
      <c r="H198" t="s">
        <v>79</v>
      </c>
      <c r="I198">
        <v>23583</v>
      </c>
      <c r="J198" s="2">
        <v>41003</v>
      </c>
      <c r="K198" t="s">
        <v>82</v>
      </c>
      <c r="L198" t="s">
        <v>83</v>
      </c>
      <c r="M198" s="2">
        <v>29298</v>
      </c>
      <c r="N198" t="s">
        <v>87</v>
      </c>
      <c r="O198">
        <v>10453</v>
      </c>
      <c r="P198">
        <v>14284</v>
      </c>
      <c r="Q198">
        <v>5363</v>
      </c>
      <c r="R198">
        <v>0.27</v>
      </c>
      <c r="S198" s="4">
        <v>2.2080330977603917</v>
      </c>
      <c r="T198" s="4">
        <v>6.034808002161185</v>
      </c>
      <c r="U198">
        <v>87.558592279563925</v>
      </c>
      <c r="V198">
        <v>7</v>
      </c>
      <c r="W198">
        <v>278</v>
      </c>
      <c r="X198">
        <v>3</v>
      </c>
      <c r="Y198">
        <v>1</v>
      </c>
      <c r="Z198">
        <v>0</v>
      </c>
    </row>
    <row r="199" spans="1:26" x14ac:dyDescent="0.25">
      <c r="A199" t="s">
        <v>14</v>
      </c>
      <c r="B199">
        <v>8672</v>
      </c>
      <c r="C199" t="s">
        <v>29</v>
      </c>
      <c r="D199" t="s">
        <v>57</v>
      </c>
      <c r="E199">
        <v>3</v>
      </c>
      <c r="F199" t="s">
        <v>65</v>
      </c>
      <c r="G199" t="s">
        <v>76</v>
      </c>
      <c r="H199" t="s">
        <v>78</v>
      </c>
      <c r="I199">
        <v>8751</v>
      </c>
      <c r="J199" s="2">
        <v>41814</v>
      </c>
      <c r="K199" t="s">
        <v>81</v>
      </c>
      <c r="L199" t="s">
        <v>83</v>
      </c>
      <c r="M199" s="2">
        <v>30713</v>
      </c>
      <c r="N199" t="s">
        <v>87</v>
      </c>
      <c r="O199">
        <v>16524</v>
      </c>
      <c r="P199">
        <v>3239</v>
      </c>
      <c r="Q199">
        <v>5843</v>
      </c>
      <c r="R199">
        <v>0.1</v>
      </c>
      <c r="S199" s="4">
        <v>3.509343570257466</v>
      </c>
      <c r="T199" s="4">
        <v>6.8376651628611889</v>
      </c>
      <c r="U199">
        <v>88.99743529964519</v>
      </c>
      <c r="V199">
        <v>6</v>
      </c>
      <c r="W199">
        <v>287</v>
      </c>
      <c r="X199">
        <v>4</v>
      </c>
      <c r="Y199">
        <v>1</v>
      </c>
      <c r="Z199">
        <v>0</v>
      </c>
    </row>
    <row r="200" spans="1:26" x14ac:dyDescent="0.25">
      <c r="A200" t="s">
        <v>13</v>
      </c>
      <c r="B200">
        <v>9271</v>
      </c>
      <c r="C200" t="s">
        <v>18</v>
      </c>
      <c r="D200" t="s">
        <v>55</v>
      </c>
      <c r="E200">
        <v>3</v>
      </c>
      <c r="F200" t="s">
        <v>71</v>
      </c>
      <c r="G200" t="s">
        <v>75</v>
      </c>
      <c r="H200" t="s">
        <v>77</v>
      </c>
      <c r="I200">
        <v>25628</v>
      </c>
      <c r="J200" s="2">
        <v>43175</v>
      </c>
      <c r="K200" t="s">
        <v>71</v>
      </c>
      <c r="L200" t="s">
        <v>84</v>
      </c>
      <c r="M200" s="2">
        <v>23285</v>
      </c>
      <c r="N200" t="s">
        <v>97</v>
      </c>
      <c r="O200">
        <v>5201</v>
      </c>
      <c r="P200">
        <v>15343</v>
      </c>
      <c r="Q200">
        <v>5103</v>
      </c>
      <c r="R200">
        <v>0.1</v>
      </c>
      <c r="S200" s="4">
        <v>2.4968360640869487</v>
      </c>
      <c r="T200" s="4">
        <v>7.3902686753563511</v>
      </c>
      <c r="U200">
        <v>87.423527116646753</v>
      </c>
      <c r="V200">
        <v>7</v>
      </c>
      <c r="W200">
        <v>285</v>
      </c>
      <c r="X200">
        <v>4</v>
      </c>
      <c r="Y200">
        <v>1</v>
      </c>
      <c r="Z200">
        <v>0</v>
      </c>
    </row>
    <row r="201" spans="1:26" x14ac:dyDescent="0.25">
      <c r="A201" t="s">
        <v>15</v>
      </c>
      <c r="B201">
        <v>1841</v>
      </c>
      <c r="C201" t="s">
        <v>25</v>
      </c>
      <c r="D201" t="s">
        <v>56</v>
      </c>
      <c r="E201">
        <v>2</v>
      </c>
      <c r="F201" t="s">
        <v>65</v>
      </c>
      <c r="G201" t="s">
        <v>76</v>
      </c>
      <c r="H201" t="s">
        <v>78</v>
      </c>
      <c r="I201">
        <v>7634</v>
      </c>
      <c r="J201" s="2">
        <v>40483</v>
      </c>
      <c r="K201" t="s">
        <v>81</v>
      </c>
      <c r="L201" t="s">
        <v>83</v>
      </c>
      <c r="M201" s="2">
        <v>28561</v>
      </c>
      <c r="N201" t="s">
        <v>92</v>
      </c>
      <c r="O201">
        <v>18738</v>
      </c>
      <c r="P201">
        <v>13174</v>
      </c>
      <c r="Q201">
        <v>5781</v>
      </c>
      <c r="S201" s="4">
        <v>1.5959848929056553</v>
      </c>
      <c r="T201" s="4">
        <v>7.3421336492855485</v>
      </c>
      <c r="U201">
        <v>91.772584630882534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5FED5-4B99-4135-B3EE-71A1AF682730}">
  <dimension ref="A1"/>
  <sheetViews>
    <sheetView workbookViewId="0"/>
  </sheetViews>
  <sheetFormatPr defaultRowHeight="15" x14ac:dyDescent="0.25"/>
  <sheetData>
    <row r="1" spans="1:1" x14ac:dyDescent="0.25">
      <c r="A1" t="e" cm="1">
        <f t="array" ref="A1">ra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F915-64CE-448F-84DF-7065C98C6AA4}">
  <dimension ref="A2:D210"/>
  <sheetViews>
    <sheetView topLeftCell="A180" workbookViewId="0">
      <selection activeCell="D10" sqref="D10:D210"/>
    </sheetView>
  </sheetViews>
  <sheetFormatPr defaultRowHeight="15" x14ac:dyDescent="0.25"/>
  <sheetData>
    <row r="2" spans="1:4" x14ac:dyDescent="0.25">
      <c r="A2" t="s">
        <v>109</v>
      </c>
    </row>
    <row r="3" spans="1:4" x14ac:dyDescent="0.25">
      <c r="A3" t="s">
        <v>110</v>
      </c>
    </row>
    <row r="4" spans="1:4" x14ac:dyDescent="0.25">
      <c r="A4" t="s">
        <v>111</v>
      </c>
    </row>
    <row r="5" spans="1:4" x14ac:dyDescent="0.25">
      <c r="A5" t="s">
        <v>112</v>
      </c>
    </row>
    <row r="6" spans="1:4" x14ac:dyDescent="0.25">
      <c r="A6" t="s">
        <v>113</v>
      </c>
    </row>
    <row r="10" spans="1:4" x14ac:dyDescent="0.25">
      <c r="A10">
        <f ca="1">RAND() * (5 -1) + 1</f>
        <v>2.4136142566636551</v>
      </c>
      <c r="B10">
        <f ca="1">RAND() * (100 -80) +80</f>
        <v>83.135390863447213</v>
      </c>
      <c r="C10">
        <f ca="1">RANDBETWEEN(5000,5999)</f>
        <v>5833</v>
      </c>
      <c r="D10">
        <f ca="1">RANDBETWEEN(1000,9999)</f>
        <v>7650</v>
      </c>
    </row>
    <row r="11" spans="1:4" x14ac:dyDescent="0.25">
      <c r="A11">
        <f t="shared" ref="A11:A74" ca="1" si="0">RAND() * (5 -1) + 1</f>
        <v>2.0745672679392126</v>
      </c>
      <c r="B11">
        <f t="shared" ref="B11:B74" ca="1" si="1">RAND() * (100 -80) +80</f>
        <v>91.241203724891065</v>
      </c>
      <c r="C11">
        <f t="shared" ref="C11:C74" ca="1" si="2">RANDBETWEEN(5000,5999)</f>
        <v>5003</v>
      </c>
      <c r="D11">
        <f t="shared" ref="D11:D74" ca="1" si="3">RANDBETWEEN(1000,9999)</f>
        <v>1516</v>
      </c>
    </row>
    <row r="12" spans="1:4" x14ac:dyDescent="0.25">
      <c r="A12">
        <f t="shared" ca="1" si="0"/>
        <v>1.8612383560050612</v>
      </c>
      <c r="B12">
        <f t="shared" ca="1" si="1"/>
        <v>85.503885479591901</v>
      </c>
      <c r="C12">
        <f t="shared" ca="1" si="2"/>
        <v>5082</v>
      </c>
      <c r="D12">
        <f t="shared" ca="1" si="3"/>
        <v>9459</v>
      </c>
    </row>
    <row r="13" spans="1:4" x14ac:dyDescent="0.25">
      <c r="A13">
        <f t="shared" ca="1" si="0"/>
        <v>3.2102792203065817</v>
      </c>
      <c r="B13">
        <f t="shared" ca="1" si="1"/>
        <v>84.470683405524653</v>
      </c>
      <c r="C13">
        <f t="shared" ca="1" si="2"/>
        <v>5180</v>
      </c>
      <c r="D13">
        <f t="shared" ca="1" si="3"/>
        <v>9933</v>
      </c>
    </row>
    <row r="14" spans="1:4" x14ac:dyDescent="0.25">
      <c r="A14">
        <f t="shared" ca="1" si="0"/>
        <v>4.9268097608155559</v>
      </c>
      <c r="B14">
        <f t="shared" ca="1" si="1"/>
        <v>88.611347433813094</v>
      </c>
      <c r="C14">
        <f t="shared" ca="1" si="2"/>
        <v>5976</v>
      </c>
      <c r="D14">
        <f t="shared" ca="1" si="3"/>
        <v>5400</v>
      </c>
    </row>
    <row r="15" spans="1:4" x14ac:dyDescent="0.25">
      <c r="A15">
        <f t="shared" ca="1" si="0"/>
        <v>3.6320564861669027</v>
      </c>
      <c r="B15">
        <f t="shared" ca="1" si="1"/>
        <v>84.747736682616292</v>
      </c>
      <c r="C15">
        <f t="shared" ca="1" si="2"/>
        <v>5774</v>
      </c>
      <c r="D15">
        <f t="shared" ca="1" si="3"/>
        <v>2693</v>
      </c>
    </row>
    <row r="16" spans="1:4" x14ac:dyDescent="0.25">
      <c r="A16">
        <f t="shared" ca="1" si="0"/>
        <v>1.5973617343210176</v>
      </c>
      <c r="B16">
        <f t="shared" ca="1" si="1"/>
        <v>81.489250504823801</v>
      </c>
      <c r="C16">
        <f t="shared" ca="1" si="2"/>
        <v>5564</v>
      </c>
      <c r="D16">
        <f t="shared" ca="1" si="3"/>
        <v>5015</v>
      </c>
    </row>
    <row r="17" spans="1:4" x14ac:dyDescent="0.25">
      <c r="A17">
        <f t="shared" ca="1" si="0"/>
        <v>1.3873428648752424</v>
      </c>
      <c r="B17">
        <f t="shared" ca="1" si="1"/>
        <v>93.736475055543309</v>
      </c>
      <c r="C17">
        <f t="shared" ca="1" si="2"/>
        <v>5886</v>
      </c>
      <c r="D17">
        <f t="shared" ca="1" si="3"/>
        <v>8627</v>
      </c>
    </row>
    <row r="18" spans="1:4" x14ac:dyDescent="0.25">
      <c r="A18">
        <f t="shared" ca="1" si="0"/>
        <v>1.8399555700466461</v>
      </c>
      <c r="B18">
        <f t="shared" ca="1" si="1"/>
        <v>94.964619183273967</v>
      </c>
      <c r="C18">
        <f t="shared" ca="1" si="2"/>
        <v>5047</v>
      </c>
      <c r="D18">
        <f t="shared" ca="1" si="3"/>
        <v>1043</v>
      </c>
    </row>
    <row r="19" spans="1:4" x14ac:dyDescent="0.25">
      <c r="A19">
        <f t="shared" ca="1" si="0"/>
        <v>1.1395450897132182</v>
      </c>
      <c r="B19">
        <f t="shared" ca="1" si="1"/>
        <v>81.401162907993296</v>
      </c>
      <c r="C19">
        <f t="shared" ca="1" si="2"/>
        <v>5066</v>
      </c>
      <c r="D19">
        <f t="shared" ca="1" si="3"/>
        <v>4832</v>
      </c>
    </row>
    <row r="20" spans="1:4" x14ac:dyDescent="0.25">
      <c r="A20">
        <f t="shared" ca="1" si="0"/>
        <v>1.6721242929164193</v>
      </c>
      <c r="B20">
        <f t="shared" ca="1" si="1"/>
        <v>82.137307644531504</v>
      </c>
      <c r="C20">
        <f t="shared" ca="1" si="2"/>
        <v>5424</v>
      </c>
      <c r="D20">
        <f t="shared" ca="1" si="3"/>
        <v>6100</v>
      </c>
    </row>
    <row r="21" spans="1:4" x14ac:dyDescent="0.25">
      <c r="A21">
        <f t="shared" ca="1" si="0"/>
        <v>3.9733396171307405</v>
      </c>
      <c r="B21">
        <f t="shared" ca="1" si="1"/>
        <v>81.053600490937683</v>
      </c>
      <c r="C21">
        <f t="shared" ca="1" si="2"/>
        <v>5034</v>
      </c>
      <c r="D21">
        <f t="shared" ca="1" si="3"/>
        <v>3267</v>
      </c>
    </row>
    <row r="22" spans="1:4" x14ac:dyDescent="0.25">
      <c r="A22">
        <f t="shared" ca="1" si="0"/>
        <v>2.0573546136437151</v>
      </c>
      <c r="B22">
        <f t="shared" ca="1" si="1"/>
        <v>88.428642156237785</v>
      </c>
      <c r="C22">
        <f t="shared" ca="1" si="2"/>
        <v>5868</v>
      </c>
      <c r="D22">
        <f t="shared" ca="1" si="3"/>
        <v>8634</v>
      </c>
    </row>
    <row r="23" spans="1:4" x14ac:dyDescent="0.25">
      <c r="A23">
        <f t="shared" ca="1" si="0"/>
        <v>3.9662683379092538</v>
      </c>
      <c r="B23">
        <f t="shared" ca="1" si="1"/>
        <v>82.091305466593681</v>
      </c>
      <c r="C23">
        <f t="shared" ca="1" si="2"/>
        <v>5302</v>
      </c>
      <c r="D23">
        <f t="shared" ca="1" si="3"/>
        <v>8250</v>
      </c>
    </row>
    <row r="24" spans="1:4" x14ac:dyDescent="0.25">
      <c r="A24">
        <f t="shared" ca="1" si="0"/>
        <v>3.189962721999088</v>
      </c>
      <c r="B24">
        <f t="shared" ca="1" si="1"/>
        <v>94.200202245926064</v>
      </c>
      <c r="C24">
        <f t="shared" ca="1" si="2"/>
        <v>5277</v>
      </c>
      <c r="D24">
        <f t="shared" ca="1" si="3"/>
        <v>3048</v>
      </c>
    </row>
    <row r="25" spans="1:4" x14ac:dyDescent="0.25">
      <c r="A25">
        <f t="shared" ca="1" si="0"/>
        <v>2.8343004877479636</v>
      </c>
      <c r="B25">
        <f t="shared" ca="1" si="1"/>
        <v>81.755322016520495</v>
      </c>
      <c r="C25">
        <f t="shared" ca="1" si="2"/>
        <v>5764</v>
      </c>
      <c r="D25">
        <f t="shared" ca="1" si="3"/>
        <v>8920</v>
      </c>
    </row>
    <row r="26" spans="1:4" x14ac:dyDescent="0.25">
      <c r="A26">
        <f t="shared" ca="1" si="0"/>
        <v>2.2509542853599753</v>
      </c>
      <c r="B26">
        <f t="shared" ca="1" si="1"/>
        <v>99.553377141610667</v>
      </c>
      <c r="C26">
        <f t="shared" ca="1" si="2"/>
        <v>5722</v>
      </c>
      <c r="D26">
        <f t="shared" ca="1" si="3"/>
        <v>1957</v>
      </c>
    </row>
    <row r="27" spans="1:4" x14ac:dyDescent="0.25">
      <c r="A27">
        <f t="shared" ca="1" si="0"/>
        <v>3.2328032250979963</v>
      </c>
      <c r="B27">
        <f t="shared" ca="1" si="1"/>
        <v>92.616796310486833</v>
      </c>
      <c r="C27">
        <f t="shared" ca="1" si="2"/>
        <v>5846</v>
      </c>
      <c r="D27">
        <f t="shared" ca="1" si="3"/>
        <v>8280</v>
      </c>
    </row>
    <row r="28" spans="1:4" x14ac:dyDescent="0.25">
      <c r="A28">
        <f t="shared" ca="1" si="0"/>
        <v>4.7488358682005769</v>
      </c>
      <c r="B28">
        <f t="shared" ca="1" si="1"/>
        <v>92.04956548485643</v>
      </c>
      <c r="C28">
        <f t="shared" ca="1" si="2"/>
        <v>5639</v>
      </c>
      <c r="D28">
        <f t="shared" ca="1" si="3"/>
        <v>4670</v>
      </c>
    </row>
    <row r="29" spans="1:4" x14ac:dyDescent="0.25">
      <c r="A29">
        <f t="shared" ca="1" si="0"/>
        <v>3.9547903835121216</v>
      </c>
      <c r="B29">
        <f t="shared" ca="1" si="1"/>
        <v>88.633646940505102</v>
      </c>
      <c r="C29">
        <f t="shared" ca="1" si="2"/>
        <v>5038</v>
      </c>
      <c r="D29">
        <f t="shared" ca="1" si="3"/>
        <v>6273</v>
      </c>
    </row>
    <row r="30" spans="1:4" x14ac:dyDescent="0.25">
      <c r="A30">
        <f t="shared" ca="1" si="0"/>
        <v>4.1452317406949124</v>
      </c>
      <c r="B30">
        <f t="shared" ca="1" si="1"/>
        <v>82.800678367127091</v>
      </c>
      <c r="C30">
        <f t="shared" ca="1" si="2"/>
        <v>5890</v>
      </c>
      <c r="D30">
        <f t="shared" ca="1" si="3"/>
        <v>2248</v>
      </c>
    </row>
    <row r="31" spans="1:4" x14ac:dyDescent="0.25">
      <c r="A31">
        <f t="shared" ca="1" si="0"/>
        <v>1.0114948303009736</v>
      </c>
      <c r="B31">
        <f t="shared" ca="1" si="1"/>
        <v>81.924623053397752</v>
      </c>
      <c r="C31">
        <f t="shared" ca="1" si="2"/>
        <v>5826</v>
      </c>
      <c r="D31">
        <f t="shared" ca="1" si="3"/>
        <v>8725</v>
      </c>
    </row>
    <row r="32" spans="1:4" x14ac:dyDescent="0.25">
      <c r="A32">
        <f t="shared" ca="1" si="0"/>
        <v>3.3561727953628728</v>
      </c>
      <c r="B32">
        <f t="shared" ca="1" si="1"/>
        <v>82.430859334973718</v>
      </c>
      <c r="C32">
        <f t="shared" ca="1" si="2"/>
        <v>5337</v>
      </c>
      <c r="D32">
        <f t="shared" ca="1" si="3"/>
        <v>8323</v>
      </c>
    </row>
    <row r="33" spans="1:4" x14ac:dyDescent="0.25">
      <c r="A33">
        <f t="shared" ca="1" si="0"/>
        <v>2.2395712000245327</v>
      </c>
      <c r="B33">
        <f t="shared" ca="1" si="1"/>
        <v>94.484728416886782</v>
      </c>
      <c r="C33">
        <f t="shared" ca="1" si="2"/>
        <v>5664</v>
      </c>
      <c r="D33">
        <f t="shared" ca="1" si="3"/>
        <v>8215</v>
      </c>
    </row>
    <row r="34" spans="1:4" x14ac:dyDescent="0.25">
      <c r="A34">
        <f t="shared" ca="1" si="0"/>
        <v>4.7087571259545662</v>
      </c>
      <c r="B34">
        <f t="shared" ca="1" si="1"/>
        <v>93.582963109706796</v>
      </c>
      <c r="C34">
        <f t="shared" ca="1" si="2"/>
        <v>5797</v>
      </c>
      <c r="D34">
        <f t="shared" ca="1" si="3"/>
        <v>9652</v>
      </c>
    </row>
    <row r="35" spans="1:4" x14ac:dyDescent="0.25">
      <c r="A35">
        <f t="shared" ca="1" si="0"/>
        <v>2.1250744728779445</v>
      </c>
      <c r="B35">
        <f t="shared" ca="1" si="1"/>
        <v>98.539084066456681</v>
      </c>
      <c r="C35">
        <f t="shared" ca="1" si="2"/>
        <v>5629</v>
      </c>
      <c r="D35">
        <f t="shared" ca="1" si="3"/>
        <v>8430</v>
      </c>
    </row>
    <row r="36" spans="1:4" x14ac:dyDescent="0.25">
      <c r="A36">
        <f t="shared" ca="1" si="0"/>
        <v>4.5076385531268972</v>
      </c>
      <c r="B36">
        <f t="shared" ca="1" si="1"/>
        <v>95.806022507159526</v>
      </c>
      <c r="C36">
        <f t="shared" ca="1" si="2"/>
        <v>5035</v>
      </c>
      <c r="D36">
        <f t="shared" ca="1" si="3"/>
        <v>1982</v>
      </c>
    </row>
    <row r="37" spans="1:4" x14ac:dyDescent="0.25">
      <c r="A37">
        <f t="shared" ca="1" si="0"/>
        <v>1.4220933420727699</v>
      </c>
      <c r="B37">
        <f t="shared" ca="1" si="1"/>
        <v>89.564438818455329</v>
      </c>
      <c r="C37">
        <f t="shared" ca="1" si="2"/>
        <v>5634</v>
      </c>
      <c r="D37">
        <f t="shared" ca="1" si="3"/>
        <v>2545</v>
      </c>
    </row>
    <row r="38" spans="1:4" x14ac:dyDescent="0.25">
      <c r="A38">
        <f t="shared" ca="1" si="0"/>
        <v>3.4076230112512476</v>
      </c>
      <c r="B38">
        <f t="shared" ca="1" si="1"/>
        <v>86.159044804703555</v>
      </c>
      <c r="C38">
        <f t="shared" ca="1" si="2"/>
        <v>5295</v>
      </c>
      <c r="D38">
        <f t="shared" ca="1" si="3"/>
        <v>5992</v>
      </c>
    </row>
    <row r="39" spans="1:4" x14ac:dyDescent="0.25">
      <c r="A39">
        <f t="shared" ca="1" si="0"/>
        <v>3.7630216780361656</v>
      </c>
      <c r="B39">
        <f t="shared" ca="1" si="1"/>
        <v>92.756730120232461</v>
      </c>
      <c r="C39">
        <f t="shared" ca="1" si="2"/>
        <v>5945</v>
      </c>
      <c r="D39">
        <f t="shared" ca="1" si="3"/>
        <v>8576</v>
      </c>
    </row>
    <row r="40" spans="1:4" x14ac:dyDescent="0.25">
      <c r="A40">
        <f t="shared" ca="1" si="0"/>
        <v>2.3267139334433797</v>
      </c>
      <c r="B40">
        <f t="shared" ca="1" si="1"/>
        <v>90.372743228401305</v>
      </c>
      <c r="C40">
        <f t="shared" ca="1" si="2"/>
        <v>5146</v>
      </c>
      <c r="D40">
        <f t="shared" ca="1" si="3"/>
        <v>4279</v>
      </c>
    </row>
    <row r="41" spans="1:4" x14ac:dyDescent="0.25">
      <c r="A41">
        <f t="shared" ca="1" si="0"/>
        <v>3.2556530465367977</v>
      </c>
      <c r="B41">
        <f t="shared" ca="1" si="1"/>
        <v>99.915788373567096</v>
      </c>
      <c r="C41">
        <f t="shared" ca="1" si="2"/>
        <v>5441</v>
      </c>
      <c r="D41">
        <f t="shared" ca="1" si="3"/>
        <v>8137</v>
      </c>
    </row>
    <row r="42" spans="1:4" x14ac:dyDescent="0.25">
      <c r="A42">
        <f t="shared" ca="1" si="0"/>
        <v>2.1513151199882725</v>
      </c>
      <c r="B42">
        <f t="shared" ca="1" si="1"/>
        <v>90.131916550519932</v>
      </c>
      <c r="C42">
        <f t="shared" ca="1" si="2"/>
        <v>5916</v>
      </c>
      <c r="D42">
        <f t="shared" ca="1" si="3"/>
        <v>5383</v>
      </c>
    </row>
    <row r="43" spans="1:4" x14ac:dyDescent="0.25">
      <c r="A43">
        <f t="shared" ca="1" si="0"/>
        <v>1.2735923252150512</v>
      </c>
      <c r="B43">
        <f t="shared" ca="1" si="1"/>
        <v>99.005570625572688</v>
      </c>
      <c r="C43">
        <f t="shared" ca="1" si="2"/>
        <v>5322</v>
      </c>
      <c r="D43">
        <f t="shared" ca="1" si="3"/>
        <v>1949</v>
      </c>
    </row>
    <row r="44" spans="1:4" x14ac:dyDescent="0.25">
      <c r="A44">
        <f t="shared" ca="1" si="0"/>
        <v>4.2218693819605342</v>
      </c>
      <c r="B44">
        <f t="shared" ca="1" si="1"/>
        <v>94.132028082569335</v>
      </c>
      <c r="C44">
        <f t="shared" ca="1" si="2"/>
        <v>5091</v>
      </c>
      <c r="D44">
        <f t="shared" ca="1" si="3"/>
        <v>6154</v>
      </c>
    </row>
    <row r="45" spans="1:4" x14ac:dyDescent="0.25">
      <c r="A45">
        <f t="shared" ca="1" si="0"/>
        <v>1.2828760597361906</v>
      </c>
      <c r="B45">
        <f t="shared" ca="1" si="1"/>
        <v>90.53008919921993</v>
      </c>
      <c r="C45">
        <f t="shared" ca="1" si="2"/>
        <v>5378</v>
      </c>
      <c r="D45">
        <f t="shared" ca="1" si="3"/>
        <v>6867</v>
      </c>
    </row>
    <row r="46" spans="1:4" x14ac:dyDescent="0.25">
      <c r="A46">
        <f t="shared" ca="1" si="0"/>
        <v>2.2125587597253928</v>
      </c>
      <c r="B46">
        <f t="shared" ca="1" si="1"/>
        <v>90.9588896645906</v>
      </c>
      <c r="C46">
        <f t="shared" ca="1" si="2"/>
        <v>5445</v>
      </c>
      <c r="D46">
        <f t="shared" ca="1" si="3"/>
        <v>9483</v>
      </c>
    </row>
    <row r="47" spans="1:4" x14ac:dyDescent="0.25">
      <c r="A47">
        <f t="shared" ca="1" si="0"/>
        <v>2.782929458165293</v>
      </c>
      <c r="B47">
        <f t="shared" ca="1" si="1"/>
        <v>85.316659874386147</v>
      </c>
      <c r="C47">
        <f t="shared" ca="1" si="2"/>
        <v>5953</v>
      </c>
      <c r="D47">
        <f t="shared" ca="1" si="3"/>
        <v>6459</v>
      </c>
    </row>
    <row r="48" spans="1:4" x14ac:dyDescent="0.25">
      <c r="A48">
        <f t="shared" ca="1" si="0"/>
        <v>1.6886288872666202</v>
      </c>
      <c r="B48">
        <f t="shared" ca="1" si="1"/>
        <v>98.905886457951453</v>
      </c>
      <c r="C48">
        <f t="shared" ca="1" si="2"/>
        <v>5760</v>
      </c>
      <c r="D48">
        <f t="shared" ca="1" si="3"/>
        <v>9001</v>
      </c>
    </row>
    <row r="49" spans="1:4" x14ac:dyDescent="0.25">
      <c r="A49">
        <f t="shared" ca="1" si="0"/>
        <v>1.7028074865438434</v>
      </c>
      <c r="B49">
        <f t="shared" ca="1" si="1"/>
        <v>82.165259507874751</v>
      </c>
      <c r="C49">
        <f t="shared" ca="1" si="2"/>
        <v>5925</v>
      </c>
      <c r="D49">
        <f t="shared" ca="1" si="3"/>
        <v>1443</v>
      </c>
    </row>
    <row r="50" spans="1:4" x14ac:dyDescent="0.25">
      <c r="A50">
        <f t="shared" ca="1" si="0"/>
        <v>1.9383571451695309</v>
      </c>
      <c r="B50">
        <f t="shared" ca="1" si="1"/>
        <v>88.951587374242806</v>
      </c>
      <c r="C50">
        <f t="shared" ca="1" si="2"/>
        <v>5712</v>
      </c>
      <c r="D50">
        <f t="shared" ca="1" si="3"/>
        <v>4665</v>
      </c>
    </row>
    <row r="51" spans="1:4" x14ac:dyDescent="0.25">
      <c r="A51">
        <f t="shared" ca="1" si="0"/>
        <v>3.2403368671542463</v>
      </c>
      <c r="B51">
        <f t="shared" ca="1" si="1"/>
        <v>95.083422018601425</v>
      </c>
      <c r="C51">
        <f t="shared" ca="1" si="2"/>
        <v>5995</v>
      </c>
      <c r="D51">
        <f t="shared" ca="1" si="3"/>
        <v>2598</v>
      </c>
    </row>
    <row r="52" spans="1:4" x14ac:dyDescent="0.25">
      <c r="A52">
        <f t="shared" ca="1" si="0"/>
        <v>2.1557326107702819</v>
      </c>
      <c r="B52">
        <f t="shared" ca="1" si="1"/>
        <v>99.015428884817268</v>
      </c>
      <c r="C52">
        <f t="shared" ca="1" si="2"/>
        <v>5546</v>
      </c>
      <c r="D52">
        <f t="shared" ca="1" si="3"/>
        <v>6345</v>
      </c>
    </row>
    <row r="53" spans="1:4" x14ac:dyDescent="0.25">
      <c r="A53">
        <f t="shared" ca="1" si="0"/>
        <v>4.7530075443651585</v>
      </c>
      <c r="B53">
        <f t="shared" ca="1" si="1"/>
        <v>95.559937957049243</v>
      </c>
      <c r="C53">
        <f t="shared" ca="1" si="2"/>
        <v>5795</v>
      </c>
      <c r="D53">
        <f t="shared" ca="1" si="3"/>
        <v>2295</v>
      </c>
    </row>
    <row r="54" spans="1:4" x14ac:dyDescent="0.25">
      <c r="A54">
        <f t="shared" ca="1" si="0"/>
        <v>3.1647938856457749</v>
      </c>
      <c r="B54">
        <f t="shared" ca="1" si="1"/>
        <v>88.84100425617109</v>
      </c>
      <c r="C54">
        <f t="shared" ca="1" si="2"/>
        <v>5021</v>
      </c>
      <c r="D54">
        <f t="shared" ca="1" si="3"/>
        <v>8537</v>
      </c>
    </row>
    <row r="55" spans="1:4" x14ac:dyDescent="0.25">
      <c r="A55">
        <f t="shared" ca="1" si="0"/>
        <v>2.57315540453942</v>
      </c>
      <c r="B55">
        <f t="shared" ca="1" si="1"/>
        <v>81.12948166294187</v>
      </c>
      <c r="C55">
        <f t="shared" ca="1" si="2"/>
        <v>5477</v>
      </c>
      <c r="D55">
        <f t="shared" ca="1" si="3"/>
        <v>5298</v>
      </c>
    </row>
    <row r="56" spans="1:4" x14ac:dyDescent="0.25">
      <c r="A56">
        <f t="shared" ca="1" si="0"/>
        <v>3.4652951670271137</v>
      </c>
      <c r="B56">
        <f t="shared" ca="1" si="1"/>
        <v>95.361426858405778</v>
      </c>
      <c r="C56">
        <f t="shared" ca="1" si="2"/>
        <v>5798</v>
      </c>
      <c r="D56">
        <f t="shared" ca="1" si="3"/>
        <v>5771</v>
      </c>
    </row>
    <row r="57" spans="1:4" x14ac:dyDescent="0.25">
      <c r="A57">
        <f t="shared" ca="1" si="0"/>
        <v>3.8420815237379342</v>
      </c>
      <c r="B57">
        <f t="shared" ca="1" si="1"/>
        <v>90.138184279814169</v>
      </c>
      <c r="C57">
        <f t="shared" ca="1" si="2"/>
        <v>5364</v>
      </c>
      <c r="D57">
        <f t="shared" ca="1" si="3"/>
        <v>2555</v>
      </c>
    </row>
    <row r="58" spans="1:4" x14ac:dyDescent="0.25">
      <c r="A58">
        <f t="shared" ca="1" si="0"/>
        <v>3.1476617968208802</v>
      </c>
      <c r="B58">
        <f t="shared" ca="1" si="1"/>
        <v>92.297631758741673</v>
      </c>
      <c r="C58">
        <f t="shared" ca="1" si="2"/>
        <v>5036</v>
      </c>
      <c r="D58">
        <f t="shared" ca="1" si="3"/>
        <v>1006</v>
      </c>
    </row>
    <row r="59" spans="1:4" x14ac:dyDescent="0.25">
      <c r="A59">
        <f t="shared" ca="1" si="0"/>
        <v>3.4413108401989008</v>
      </c>
      <c r="B59">
        <f t="shared" ca="1" si="1"/>
        <v>96.507013336131436</v>
      </c>
      <c r="C59">
        <f t="shared" ca="1" si="2"/>
        <v>5371</v>
      </c>
      <c r="D59">
        <f t="shared" ca="1" si="3"/>
        <v>4358</v>
      </c>
    </row>
    <row r="60" spans="1:4" x14ac:dyDescent="0.25">
      <c r="A60">
        <f t="shared" ca="1" si="0"/>
        <v>4.0743693384010875</v>
      </c>
      <c r="B60">
        <f t="shared" ca="1" si="1"/>
        <v>92.628271012440592</v>
      </c>
      <c r="C60">
        <f t="shared" ca="1" si="2"/>
        <v>5908</v>
      </c>
      <c r="D60">
        <f t="shared" ca="1" si="3"/>
        <v>8551</v>
      </c>
    </row>
    <row r="61" spans="1:4" x14ac:dyDescent="0.25">
      <c r="A61">
        <f t="shared" ca="1" si="0"/>
        <v>3.2099302140656714</v>
      </c>
      <c r="B61">
        <f t="shared" ca="1" si="1"/>
        <v>93.590827888001542</v>
      </c>
      <c r="C61">
        <f t="shared" ca="1" si="2"/>
        <v>5713</v>
      </c>
      <c r="D61">
        <f t="shared" ca="1" si="3"/>
        <v>3042</v>
      </c>
    </row>
    <row r="62" spans="1:4" x14ac:dyDescent="0.25">
      <c r="A62">
        <f t="shared" ca="1" si="0"/>
        <v>1.4036755572210584</v>
      </c>
      <c r="B62">
        <f t="shared" ca="1" si="1"/>
        <v>88.477278170137097</v>
      </c>
      <c r="C62">
        <f t="shared" ca="1" si="2"/>
        <v>5817</v>
      </c>
      <c r="D62">
        <f t="shared" ca="1" si="3"/>
        <v>1219</v>
      </c>
    </row>
    <row r="63" spans="1:4" x14ac:dyDescent="0.25">
      <c r="A63">
        <f t="shared" ca="1" si="0"/>
        <v>1.5302000104116003</v>
      </c>
      <c r="B63">
        <f t="shared" ca="1" si="1"/>
        <v>81.000768285873178</v>
      </c>
      <c r="C63">
        <f t="shared" ca="1" si="2"/>
        <v>5707</v>
      </c>
      <c r="D63">
        <f t="shared" ca="1" si="3"/>
        <v>7076</v>
      </c>
    </row>
    <row r="64" spans="1:4" x14ac:dyDescent="0.25">
      <c r="A64">
        <f t="shared" ca="1" si="0"/>
        <v>3.5937639466356401</v>
      </c>
      <c r="B64">
        <f t="shared" ca="1" si="1"/>
        <v>88.081746306316035</v>
      </c>
      <c r="C64">
        <f t="shared" ca="1" si="2"/>
        <v>5246</v>
      </c>
      <c r="D64">
        <f t="shared" ca="1" si="3"/>
        <v>4001</v>
      </c>
    </row>
    <row r="65" spans="1:4" x14ac:dyDescent="0.25">
      <c r="A65">
        <f t="shared" ca="1" si="0"/>
        <v>2.674785321246067</v>
      </c>
      <c r="B65">
        <f t="shared" ca="1" si="1"/>
        <v>85.801986822920114</v>
      </c>
      <c r="C65">
        <f t="shared" ca="1" si="2"/>
        <v>5942</v>
      </c>
      <c r="D65">
        <f t="shared" ca="1" si="3"/>
        <v>2655</v>
      </c>
    </row>
    <row r="66" spans="1:4" x14ac:dyDescent="0.25">
      <c r="A66">
        <f t="shared" ca="1" si="0"/>
        <v>3.6367007394790831</v>
      </c>
      <c r="B66">
        <f t="shared" ca="1" si="1"/>
        <v>97.798048431918048</v>
      </c>
      <c r="C66">
        <f t="shared" ca="1" si="2"/>
        <v>5849</v>
      </c>
      <c r="D66">
        <f t="shared" ca="1" si="3"/>
        <v>7141</v>
      </c>
    </row>
    <row r="67" spans="1:4" x14ac:dyDescent="0.25">
      <c r="A67">
        <f t="shared" ca="1" si="0"/>
        <v>3.4816535834496514</v>
      </c>
      <c r="B67">
        <f t="shared" ca="1" si="1"/>
        <v>81.315514652443312</v>
      </c>
      <c r="C67">
        <f t="shared" ca="1" si="2"/>
        <v>5697</v>
      </c>
      <c r="D67">
        <f t="shared" ca="1" si="3"/>
        <v>3627</v>
      </c>
    </row>
    <row r="68" spans="1:4" x14ac:dyDescent="0.25">
      <c r="A68">
        <f t="shared" ca="1" si="0"/>
        <v>2.4556185211350403</v>
      </c>
      <c r="B68">
        <f t="shared" ca="1" si="1"/>
        <v>86.856094856545212</v>
      </c>
      <c r="C68">
        <f t="shared" ca="1" si="2"/>
        <v>5295</v>
      </c>
      <c r="D68">
        <f t="shared" ca="1" si="3"/>
        <v>2179</v>
      </c>
    </row>
    <row r="69" spans="1:4" x14ac:dyDescent="0.25">
      <c r="A69">
        <f t="shared" ca="1" si="0"/>
        <v>4.4366506425999219</v>
      </c>
      <c r="B69">
        <f t="shared" ca="1" si="1"/>
        <v>97.052324953725574</v>
      </c>
      <c r="C69">
        <f t="shared" ca="1" si="2"/>
        <v>5720</v>
      </c>
      <c r="D69">
        <f t="shared" ca="1" si="3"/>
        <v>7716</v>
      </c>
    </row>
    <row r="70" spans="1:4" x14ac:dyDescent="0.25">
      <c r="A70">
        <f t="shared" ca="1" si="0"/>
        <v>1.0605042391111805</v>
      </c>
      <c r="B70">
        <f t="shared" ca="1" si="1"/>
        <v>93.744213953685801</v>
      </c>
      <c r="C70">
        <f t="shared" ca="1" si="2"/>
        <v>5904</v>
      </c>
      <c r="D70">
        <f t="shared" ca="1" si="3"/>
        <v>9252</v>
      </c>
    </row>
    <row r="71" spans="1:4" x14ac:dyDescent="0.25">
      <c r="A71">
        <f t="shared" ca="1" si="0"/>
        <v>1.904871934876204</v>
      </c>
      <c r="B71">
        <f t="shared" ca="1" si="1"/>
        <v>87.469492123749205</v>
      </c>
      <c r="C71">
        <f t="shared" ca="1" si="2"/>
        <v>5599</v>
      </c>
      <c r="D71">
        <f t="shared" ca="1" si="3"/>
        <v>4888</v>
      </c>
    </row>
    <row r="72" spans="1:4" x14ac:dyDescent="0.25">
      <c r="A72">
        <f t="shared" ca="1" si="0"/>
        <v>2.7306212807226755</v>
      </c>
      <c r="B72">
        <f t="shared" ca="1" si="1"/>
        <v>92.822868367786683</v>
      </c>
      <c r="C72">
        <f t="shared" ca="1" si="2"/>
        <v>5441</v>
      </c>
      <c r="D72">
        <f t="shared" ca="1" si="3"/>
        <v>8418</v>
      </c>
    </row>
    <row r="73" spans="1:4" x14ac:dyDescent="0.25">
      <c r="A73">
        <f t="shared" ca="1" si="0"/>
        <v>2.7147291135538847</v>
      </c>
      <c r="B73">
        <f t="shared" ca="1" si="1"/>
        <v>90.87854832593014</v>
      </c>
      <c r="C73">
        <f t="shared" ca="1" si="2"/>
        <v>5739</v>
      </c>
      <c r="D73">
        <f t="shared" ca="1" si="3"/>
        <v>1586</v>
      </c>
    </row>
    <row r="74" spans="1:4" x14ac:dyDescent="0.25">
      <c r="A74">
        <f t="shared" ca="1" si="0"/>
        <v>1.4527961643058438</v>
      </c>
      <c r="B74">
        <f t="shared" ca="1" si="1"/>
        <v>91.435689907376641</v>
      </c>
      <c r="C74">
        <f t="shared" ca="1" si="2"/>
        <v>5423</v>
      </c>
      <c r="D74">
        <f t="shared" ca="1" si="3"/>
        <v>7510</v>
      </c>
    </row>
    <row r="75" spans="1:4" x14ac:dyDescent="0.25">
      <c r="A75">
        <f t="shared" ref="A75:A138" ca="1" si="4">RAND() * (5 -1) + 1</f>
        <v>4.1810280375955644</v>
      </c>
      <c r="B75">
        <f t="shared" ref="B75:B138" ca="1" si="5">RAND() * (100 -80) +80</f>
        <v>88.929597398342707</v>
      </c>
      <c r="C75">
        <f t="shared" ref="C75:C138" ca="1" si="6">RANDBETWEEN(5000,5999)</f>
        <v>5106</v>
      </c>
      <c r="D75">
        <f t="shared" ref="D75:D138" ca="1" si="7">RANDBETWEEN(1000,9999)</f>
        <v>9876</v>
      </c>
    </row>
    <row r="76" spans="1:4" x14ac:dyDescent="0.25">
      <c r="A76">
        <f t="shared" ca="1" si="4"/>
        <v>2.3995534454228755</v>
      </c>
      <c r="B76">
        <f t="shared" ca="1" si="5"/>
        <v>81.996488239164037</v>
      </c>
      <c r="C76">
        <f t="shared" ca="1" si="6"/>
        <v>5273</v>
      </c>
      <c r="D76">
        <f t="shared" ca="1" si="7"/>
        <v>3923</v>
      </c>
    </row>
    <row r="77" spans="1:4" x14ac:dyDescent="0.25">
      <c r="A77">
        <f t="shared" ca="1" si="4"/>
        <v>4.0957274294234924</v>
      </c>
      <c r="B77">
        <f t="shared" ca="1" si="5"/>
        <v>97.475326883588025</v>
      </c>
      <c r="C77">
        <f t="shared" ca="1" si="6"/>
        <v>5525</v>
      </c>
      <c r="D77">
        <f t="shared" ca="1" si="7"/>
        <v>1939</v>
      </c>
    </row>
    <row r="78" spans="1:4" x14ac:dyDescent="0.25">
      <c r="A78">
        <f t="shared" ca="1" si="4"/>
        <v>3.0255682064683915</v>
      </c>
      <c r="B78">
        <f t="shared" ca="1" si="5"/>
        <v>83.200464419178715</v>
      </c>
      <c r="C78">
        <f t="shared" ca="1" si="6"/>
        <v>5022</v>
      </c>
      <c r="D78">
        <f t="shared" ca="1" si="7"/>
        <v>5542</v>
      </c>
    </row>
    <row r="79" spans="1:4" x14ac:dyDescent="0.25">
      <c r="A79">
        <f t="shared" ca="1" si="4"/>
        <v>1.8368320617419269</v>
      </c>
      <c r="B79">
        <f t="shared" ca="1" si="5"/>
        <v>84.177679880604146</v>
      </c>
      <c r="C79">
        <f t="shared" ca="1" si="6"/>
        <v>5184</v>
      </c>
      <c r="D79">
        <f t="shared" ca="1" si="7"/>
        <v>6856</v>
      </c>
    </row>
    <row r="80" spans="1:4" x14ac:dyDescent="0.25">
      <c r="A80">
        <f t="shared" ca="1" si="4"/>
        <v>2.5047471667949734</v>
      </c>
      <c r="B80">
        <f t="shared" ca="1" si="5"/>
        <v>89.890949796691899</v>
      </c>
      <c r="C80">
        <f t="shared" ca="1" si="6"/>
        <v>5715</v>
      </c>
      <c r="D80">
        <f t="shared" ca="1" si="7"/>
        <v>7025</v>
      </c>
    </row>
    <row r="81" spans="1:4" x14ac:dyDescent="0.25">
      <c r="A81">
        <f t="shared" ca="1" si="4"/>
        <v>1.1145846858366126</v>
      </c>
      <c r="B81">
        <f t="shared" ca="1" si="5"/>
        <v>93.669459756425468</v>
      </c>
      <c r="C81">
        <f t="shared" ca="1" si="6"/>
        <v>5043</v>
      </c>
      <c r="D81">
        <f t="shared" ca="1" si="7"/>
        <v>6571</v>
      </c>
    </row>
    <row r="82" spans="1:4" x14ac:dyDescent="0.25">
      <c r="A82">
        <f t="shared" ca="1" si="4"/>
        <v>3.5718592855509432</v>
      </c>
      <c r="B82">
        <f t="shared" ca="1" si="5"/>
        <v>81.627795620975206</v>
      </c>
      <c r="C82">
        <f t="shared" ca="1" si="6"/>
        <v>5453</v>
      </c>
      <c r="D82">
        <f t="shared" ca="1" si="7"/>
        <v>1146</v>
      </c>
    </row>
    <row r="83" spans="1:4" x14ac:dyDescent="0.25">
      <c r="A83">
        <f t="shared" ca="1" si="4"/>
        <v>4.0841096297456119</v>
      </c>
      <c r="B83">
        <f t="shared" ca="1" si="5"/>
        <v>99.117147904613319</v>
      </c>
      <c r="C83">
        <f t="shared" ca="1" si="6"/>
        <v>5990</v>
      </c>
      <c r="D83">
        <f t="shared" ca="1" si="7"/>
        <v>3591</v>
      </c>
    </row>
    <row r="84" spans="1:4" x14ac:dyDescent="0.25">
      <c r="A84">
        <f t="shared" ca="1" si="4"/>
        <v>4.0533887295919477</v>
      </c>
      <c r="B84">
        <f t="shared" ca="1" si="5"/>
        <v>96.752155209916566</v>
      </c>
      <c r="C84">
        <f t="shared" ca="1" si="6"/>
        <v>5966</v>
      </c>
      <c r="D84">
        <f t="shared" ca="1" si="7"/>
        <v>5845</v>
      </c>
    </row>
    <row r="85" spans="1:4" x14ac:dyDescent="0.25">
      <c r="A85">
        <f t="shared" ca="1" si="4"/>
        <v>3.9643441058407536</v>
      </c>
      <c r="B85">
        <f t="shared" ca="1" si="5"/>
        <v>86.261005796435029</v>
      </c>
      <c r="C85">
        <f t="shared" ca="1" si="6"/>
        <v>5417</v>
      </c>
      <c r="D85">
        <f t="shared" ca="1" si="7"/>
        <v>5407</v>
      </c>
    </row>
    <row r="86" spans="1:4" x14ac:dyDescent="0.25">
      <c r="A86">
        <f t="shared" ca="1" si="4"/>
        <v>3.5146949326629602</v>
      </c>
      <c r="B86">
        <f t="shared" ca="1" si="5"/>
        <v>88.159820845668165</v>
      </c>
      <c r="C86">
        <f t="shared" ca="1" si="6"/>
        <v>5979</v>
      </c>
      <c r="D86">
        <f t="shared" ca="1" si="7"/>
        <v>3760</v>
      </c>
    </row>
    <row r="87" spans="1:4" x14ac:dyDescent="0.25">
      <c r="A87">
        <f t="shared" ca="1" si="4"/>
        <v>2.367492658428954</v>
      </c>
      <c r="B87">
        <f t="shared" ca="1" si="5"/>
        <v>90.222342345282016</v>
      </c>
      <c r="C87">
        <f t="shared" ca="1" si="6"/>
        <v>5261</v>
      </c>
      <c r="D87">
        <f t="shared" ca="1" si="7"/>
        <v>9027</v>
      </c>
    </row>
    <row r="88" spans="1:4" x14ac:dyDescent="0.25">
      <c r="A88">
        <f t="shared" ca="1" si="4"/>
        <v>4.8429303763846354</v>
      </c>
      <c r="B88">
        <f t="shared" ca="1" si="5"/>
        <v>93.132523946393775</v>
      </c>
      <c r="C88">
        <f t="shared" ca="1" si="6"/>
        <v>5603</v>
      </c>
      <c r="D88">
        <f t="shared" ca="1" si="7"/>
        <v>1282</v>
      </c>
    </row>
    <row r="89" spans="1:4" x14ac:dyDescent="0.25">
      <c r="A89">
        <f t="shared" ca="1" si="4"/>
        <v>1.1508329093517089</v>
      </c>
      <c r="B89">
        <f t="shared" ca="1" si="5"/>
        <v>87.718603620483464</v>
      </c>
      <c r="C89">
        <f t="shared" ca="1" si="6"/>
        <v>5236</v>
      </c>
      <c r="D89">
        <f t="shared" ca="1" si="7"/>
        <v>1776</v>
      </c>
    </row>
    <row r="90" spans="1:4" x14ac:dyDescent="0.25">
      <c r="A90">
        <f t="shared" ca="1" si="4"/>
        <v>4.9491680630569395</v>
      </c>
      <c r="B90">
        <f t="shared" ca="1" si="5"/>
        <v>92.551245331886477</v>
      </c>
      <c r="C90">
        <f t="shared" ca="1" si="6"/>
        <v>5288</v>
      </c>
      <c r="D90">
        <f t="shared" ca="1" si="7"/>
        <v>8637</v>
      </c>
    </row>
    <row r="91" spans="1:4" x14ac:dyDescent="0.25">
      <c r="A91">
        <f t="shared" ca="1" si="4"/>
        <v>4.4759098948760094</v>
      </c>
      <c r="B91">
        <f t="shared" ca="1" si="5"/>
        <v>84.771486592814142</v>
      </c>
      <c r="C91">
        <f t="shared" ca="1" si="6"/>
        <v>5158</v>
      </c>
      <c r="D91">
        <f t="shared" ca="1" si="7"/>
        <v>1612</v>
      </c>
    </row>
    <row r="92" spans="1:4" x14ac:dyDescent="0.25">
      <c r="A92">
        <f t="shared" ca="1" si="4"/>
        <v>1.475389959897039</v>
      </c>
      <c r="B92">
        <f t="shared" ca="1" si="5"/>
        <v>99.609966601724096</v>
      </c>
      <c r="C92">
        <f t="shared" ca="1" si="6"/>
        <v>5294</v>
      </c>
      <c r="D92">
        <f t="shared" ca="1" si="7"/>
        <v>6301</v>
      </c>
    </row>
    <row r="93" spans="1:4" x14ac:dyDescent="0.25">
      <c r="A93">
        <f t="shared" ca="1" si="4"/>
        <v>4.7212859747814644</v>
      </c>
      <c r="B93">
        <f t="shared" ca="1" si="5"/>
        <v>95.692104382960792</v>
      </c>
      <c r="C93">
        <f t="shared" ca="1" si="6"/>
        <v>5048</v>
      </c>
      <c r="D93">
        <f t="shared" ca="1" si="7"/>
        <v>8687</v>
      </c>
    </row>
    <row r="94" spans="1:4" x14ac:dyDescent="0.25">
      <c r="A94">
        <f t="shared" ca="1" si="4"/>
        <v>2.4839251797025419</v>
      </c>
      <c r="B94">
        <f t="shared" ca="1" si="5"/>
        <v>91.222870505196312</v>
      </c>
      <c r="C94">
        <f t="shared" ca="1" si="6"/>
        <v>5011</v>
      </c>
      <c r="D94">
        <f t="shared" ca="1" si="7"/>
        <v>4314</v>
      </c>
    </row>
    <row r="95" spans="1:4" x14ac:dyDescent="0.25">
      <c r="A95">
        <f t="shared" ca="1" si="4"/>
        <v>2.4645057862157151</v>
      </c>
      <c r="B95">
        <f t="shared" ca="1" si="5"/>
        <v>95.738714971707054</v>
      </c>
      <c r="C95">
        <f t="shared" ca="1" si="6"/>
        <v>5547</v>
      </c>
      <c r="D95">
        <f t="shared" ca="1" si="7"/>
        <v>2935</v>
      </c>
    </row>
    <row r="96" spans="1:4" x14ac:dyDescent="0.25">
      <c r="A96">
        <f t="shared" ca="1" si="4"/>
        <v>2.8830074374733345</v>
      </c>
      <c r="B96">
        <f t="shared" ca="1" si="5"/>
        <v>83.671959695349571</v>
      </c>
      <c r="C96">
        <f t="shared" ca="1" si="6"/>
        <v>5941</v>
      </c>
      <c r="D96">
        <f t="shared" ca="1" si="7"/>
        <v>3860</v>
      </c>
    </row>
    <row r="97" spans="1:4" x14ac:dyDescent="0.25">
      <c r="A97">
        <f t="shared" ca="1" si="4"/>
        <v>1.9294780834079881</v>
      </c>
      <c r="B97">
        <f t="shared" ca="1" si="5"/>
        <v>94.873341363012855</v>
      </c>
      <c r="C97">
        <f t="shared" ca="1" si="6"/>
        <v>5942</v>
      </c>
      <c r="D97">
        <f t="shared" ca="1" si="7"/>
        <v>5140</v>
      </c>
    </row>
    <row r="98" spans="1:4" x14ac:dyDescent="0.25">
      <c r="A98">
        <f t="shared" ca="1" si="4"/>
        <v>3.1885428033413956</v>
      </c>
      <c r="B98">
        <f t="shared" ca="1" si="5"/>
        <v>98.143952780265295</v>
      </c>
      <c r="C98">
        <f t="shared" ca="1" si="6"/>
        <v>5155</v>
      </c>
      <c r="D98">
        <f t="shared" ca="1" si="7"/>
        <v>8542</v>
      </c>
    </row>
    <row r="99" spans="1:4" x14ac:dyDescent="0.25">
      <c r="A99">
        <f t="shared" ca="1" si="4"/>
        <v>3.9186647304302897</v>
      </c>
      <c r="B99">
        <f t="shared" ca="1" si="5"/>
        <v>96.20495659825508</v>
      </c>
      <c r="C99">
        <f t="shared" ca="1" si="6"/>
        <v>5425</v>
      </c>
      <c r="D99">
        <f t="shared" ca="1" si="7"/>
        <v>3044</v>
      </c>
    </row>
    <row r="100" spans="1:4" x14ac:dyDescent="0.25">
      <c r="A100">
        <f t="shared" ca="1" si="4"/>
        <v>4.2518058494189734</v>
      </c>
      <c r="B100">
        <f t="shared" ca="1" si="5"/>
        <v>92.847268117145205</v>
      </c>
      <c r="C100">
        <f t="shared" ca="1" si="6"/>
        <v>5444</v>
      </c>
      <c r="D100">
        <f t="shared" ca="1" si="7"/>
        <v>8885</v>
      </c>
    </row>
    <row r="101" spans="1:4" x14ac:dyDescent="0.25">
      <c r="A101">
        <f t="shared" ca="1" si="4"/>
        <v>1.3141332799030612</v>
      </c>
      <c r="B101">
        <f t="shared" ca="1" si="5"/>
        <v>94.504221294658976</v>
      </c>
      <c r="C101">
        <f t="shared" ca="1" si="6"/>
        <v>5847</v>
      </c>
      <c r="D101">
        <f t="shared" ca="1" si="7"/>
        <v>2934</v>
      </c>
    </row>
    <row r="102" spans="1:4" x14ac:dyDescent="0.25">
      <c r="A102">
        <f t="shared" ca="1" si="4"/>
        <v>4.4269880821331213</v>
      </c>
      <c r="B102">
        <f t="shared" ca="1" si="5"/>
        <v>87.752737611583669</v>
      </c>
      <c r="C102">
        <f t="shared" ca="1" si="6"/>
        <v>5813</v>
      </c>
      <c r="D102">
        <f t="shared" ca="1" si="7"/>
        <v>4567</v>
      </c>
    </row>
    <row r="103" spans="1:4" x14ac:dyDescent="0.25">
      <c r="A103">
        <f t="shared" ca="1" si="4"/>
        <v>2.6454751610819156</v>
      </c>
      <c r="B103">
        <f t="shared" ca="1" si="5"/>
        <v>96.683735820446316</v>
      </c>
      <c r="C103">
        <f t="shared" ca="1" si="6"/>
        <v>5882</v>
      </c>
      <c r="D103">
        <f t="shared" ca="1" si="7"/>
        <v>2674</v>
      </c>
    </row>
    <row r="104" spans="1:4" x14ac:dyDescent="0.25">
      <c r="A104">
        <f t="shared" ca="1" si="4"/>
        <v>2.3027709136152064</v>
      </c>
      <c r="B104">
        <f t="shared" ca="1" si="5"/>
        <v>85.886046276070047</v>
      </c>
      <c r="C104">
        <f t="shared" ca="1" si="6"/>
        <v>5397</v>
      </c>
      <c r="D104">
        <f t="shared" ca="1" si="7"/>
        <v>1830</v>
      </c>
    </row>
    <row r="105" spans="1:4" x14ac:dyDescent="0.25">
      <c r="A105">
        <f t="shared" ca="1" si="4"/>
        <v>3.0305269622797746</v>
      </c>
      <c r="B105">
        <f t="shared" ca="1" si="5"/>
        <v>81.728150323985915</v>
      </c>
      <c r="C105">
        <f t="shared" ca="1" si="6"/>
        <v>5325</v>
      </c>
      <c r="D105">
        <f t="shared" ca="1" si="7"/>
        <v>7038</v>
      </c>
    </row>
    <row r="106" spans="1:4" x14ac:dyDescent="0.25">
      <c r="A106">
        <f t="shared" ca="1" si="4"/>
        <v>1.4314657957924153</v>
      </c>
      <c r="B106">
        <f t="shared" ca="1" si="5"/>
        <v>97.528041462021577</v>
      </c>
      <c r="C106">
        <f t="shared" ca="1" si="6"/>
        <v>5392</v>
      </c>
      <c r="D106">
        <f t="shared" ca="1" si="7"/>
        <v>1070</v>
      </c>
    </row>
    <row r="107" spans="1:4" x14ac:dyDescent="0.25">
      <c r="A107">
        <f t="shared" ca="1" si="4"/>
        <v>1.8049065612322992</v>
      </c>
      <c r="B107">
        <f t="shared" ca="1" si="5"/>
        <v>96.982465853125504</v>
      </c>
      <c r="C107">
        <f t="shared" ca="1" si="6"/>
        <v>5751</v>
      </c>
      <c r="D107">
        <f t="shared" ca="1" si="7"/>
        <v>6155</v>
      </c>
    </row>
    <row r="108" spans="1:4" x14ac:dyDescent="0.25">
      <c r="A108">
        <f t="shared" ca="1" si="4"/>
        <v>4.3241239964578106</v>
      </c>
      <c r="B108">
        <f t="shared" ca="1" si="5"/>
        <v>91.946790219054904</v>
      </c>
      <c r="C108">
        <f t="shared" ca="1" si="6"/>
        <v>5317</v>
      </c>
      <c r="D108">
        <f t="shared" ca="1" si="7"/>
        <v>5924</v>
      </c>
    </row>
    <row r="109" spans="1:4" x14ac:dyDescent="0.25">
      <c r="A109">
        <f t="shared" ca="1" si="4"/>
        <v>1.6615813856279313</v>
      </c>
      <c r="B109">
        <f t="shared" ca="1" si="5"/>
        <v>89.255816374603128</v>
      </c>
      <c r="C109">
        <f t="shared" ca="1" si="6"/>
        <v>5098</v>
      </c>
      <c r="D109">
        <f t="shared" ca="1" si="7"/>
        <v>7556</v>
      </c>
    </row>
    <row r="110" spans="1:4" x14ac:dyDescent="0.25">
      <c r="A110">
        <f t="shared" ca="1" si="4"/>
        <v>2.1604617224238658</v>
      </c>
      <c r="B110">
        <f t="shared" ca="1" si="5"/>
        <v>96.054694145915448</v>
      </c>
      <c r="C110">
        <f t="shared" ca="1" si="6"/>
        <v>5474</v>
      </c>
      <c r="D110">
        <f t="shared" ca="1" si="7"/>
        <v>2607</v>
      </c>
    </row>
    <row r="111" spans="1:4" x14ac:dyDescent="0.25">
      <c r="A111">
        <f t="shared" ca="1" si="4"/>
        <v>2.6120872151537262</v>
      </c>
      <c r="B111">
        <f t="shared" ca="1" si="5"/>
        <v>84.938920233157177</v>
      </c>
      <c r="C111">
        <f t="shared" ca="1" si="6"/>
        <v>5424</v>
      </c>
      <c r="D111">
        <f t="shared" ca="1" si="7"/>
        <v>7107</v>
      </c>
    </row>
    <row r="112" spans="1:4" x14ac:dyDescent="0.25">
      <c r="A112">
        <f t="shared" ca="1" si="4"/>
        <v>2.406408212549108</v>
      </c>
      <c r="B112">
        <f t="shared" ca="1" si="5"/>
        <v>90.161398070128925</v>
      </c>
      <c r="C112">
        <f t="shared" ca="1" si="6"/>
        <v>5988</v>
      </c>
      <c r="D112">
        <f t="shared" ca="1" si="7"/>
        <v>4013</v>
      </c>
    </row>
    <row r="113" spans="1:4" x14ac:dyDescent="0.25">
      <c r="A113">
        <f t="shared" ca="1" si="4"/>
        <v>1.6683039608641765</v>
      </c>
      <c r="B113">
        <f t="shared" ca="1" si="5"/>
        <v>88.197713559821096</v>
      </c>
      <c r="C113">
        <f t="shared" ca="1" si="6"/>
        <v>5955</v>
      </c>
      <c r="D113">
        <f t="shared" ca="1" si="7"/>
        <v>1575</v>
      </c>
    </row>
    <row r="114" spans="1:4" x14ac:dyDescent="0.25">
      <c r="A114">
        <f t="shared" ca="1" si="4"/>
        <v>3.3782378290993775</v>
      </c>
      <c r="B114">
        <f t="shared" ca="1" si="5"/>
        <v>88.072114523524306</v>
      </c>
      <c r="C114">
        <f t="shared" ca="1" si="6"/>
        <v>5420</v>
      </c>
      <c r="D114">
        <f t="shared" ca="1" si="7"/>
        <v>6295</v>
      </c>
    </row>
    <row r="115" spans="1:4" x14ac:dyDescent="0.25">
      <c r="A115">
        <f t="shared" ca="1" si="4"/>
        <v>4.9212426762956598</v>
      </c>
      <c r="B115">
        <f t="shared" ca="1" si="5"/>
        <v>93.79925861590543</v>
      </c>
      <c r="C115">
        <f t="shared" ca="1" si="6"/>
        <v>5318</v>
      </c>
      <c r="D115">
        <f t="shared" ca="1" si="7"/>
        <v>4385</v>
      </c>
    </row>
    <row r="116" spans="1:4" x14ac:dyDescent="0.25">
      <c r="A116">
        <f t="shared" ca="1" si="4"/>
        <v>2.6236280874780133</v>
      </c>
      <c r="B116">
        <f t="shared" ca="1" si="5"/>
        <v>85.255551161162714</v>
      </c>
      <c r="C116">
        <f t="shared" ca="1" si="6"/>
        <v>5604</v>
      </c>
      <c r="D116">
        <f t="shared" ca="1" si="7"/>
        <v>7652</v>
      </c>
    </row>
    <row r="117" spans="1:4" x14ac:dyDescent="0.25">
      <c r="A117">
        <f t="shared" ca="1" si="4"/>
        <v>3.6494837796473645</v>
      </c>
      <c r="B117">
        <f t="shared" ca="1" si="5"/>
        <v>87.973564406081124</v>
      </c>
      <c r="C117">
        <f t="shared" ca="1" si="6"/>
        <v>5081</v>
      </c>
      <c r="D117">
        <f t="shared" ca="1" si="7"/>
        <v>1254</v>
      </c>
    </row>
    <row r="118" spans="1:4" x14ac:dyDescent="0.25">
      <c r="A118">
        <f t="shared" ca="1" si="4"/>
        <v>3.7144830770306081</v>
      </c>
      <c r="B118">
        <f t="shared" ca="1" si="5"/>
        <v>97.173987769610648</v>
      </c>
      <c r="C118">
        <f t="shared" ca="1" si="6"/>
        <v>5234</v>
      </c>
      <c r="D118">
        <f t="shared" ca="1" si="7"/>
        <v>3104</v>
      </c>
    </row>
    <row r="119" spans="1:4" x14ac:dyDescent="0.25">
      <c r="A119">
        <f t="shared" ca="1" si="4"/>
        <v>2.6324364551613182</v>
      </c>
      <c r="B119">
        <f t="shared" ca="1" si="5"/>
        <v>96.273239510154582</v>
      </c>
      <c r="C119">
        <f t="shared" ca="1" si="6"/>
        <v>5758</v>
      </c>
      <c r="D119">
        <f t="shared" ca="1" si="7"/>
        <v>9119</v>
      </c>
    </row>
    <row r="120" spans="1:4" x14ac:dyDescent="0.25">
      <c r="A120">
        <f t="shared" ca="1" si="4"/>
        <v>1.509332697652614</v>
      </c>
      <c r="B120">
        <f t="shared" ca="1" si="5"/>
        <v>84.123032422484002</v>
      </c>
      <c r="C120">
        <f t="shared" ca="1" si="6"/>
        <v>5077</v>
      </c>
      <c r="D120">
        <f t="shared" ca="1" si="7"/>
        <v>1181</v>
      </c>
    </row>
    <row r="121" spans="1:4" x14ac:dyDescent="0.25">
      <c r="A121">
        <f t="shared" ca="1" si="4"/>
        <v>2.8324854469468344</v>
      </c>
      <c r="B121">
        <f t="shared" ca="1" si="5"/>
        <v>96.601752619812657</v>
      </c>
      <c r="C121">
        <f t="shared" ca="1" si="6"/>
        <v>5746</v>
      </c>
      <c r="D121">
        <f t="shared" ca="1" si="7"/>
        <v>6745</v>
      </c>
    </row>
    <row r="122" spans="1:4" x14ac:dyDescent="0.25">
      <c r="A122">
        <f t="shared" ca="1" si="4"/>
        <v>2.8571157460735095</v>
      </c>
      <c r="B122">
        <f t="shared" ca="1" si="5"/>
        <v>88.87339232121704</v>
      </c>
      <c r="C122">
        <f t="shared" ca="1" si="6"/>
        <v>5392</v>
      </c>
      <c r="D122">
        <f t="shared" ca="1" si="7"/>
        <v>3422</v>
      </c>
    </row>
    <row r="123" spans="1:4" x14ac:dyDescent="0.25">
      <c r="A123">
        <f t="shared" ca="1" si="4"/>
        <v>4.2725200004998953</v>
      </c>
      <c r="B123">
        <f t="shared" ca="1" si="5"/>
        <v>95.989106194710075</v>
      </c>
      <c r="C123">
        <f t="shared" ca="1" si="6"/>
        <v>5893</v>
      </c>
      <c r="D123">
        <f t="shared" ca="1" si="7"/>
        <v>3208</v>
      </c>
    </row>
    <row r="124" spans="1:4" x14ac:dyDescent="0.25">
      <c r="A124">
        <f t="shared" ca="1" si="4"/>
        <v>2.451144832295133</v>
      </c>
      <c r="B124">
        <f t="shared" ca="1" si="5"/>
        <v>83.083625247497295</v>
      </c>
      <c r="C124">
        <f t="shared" ca="1" si="6"/>
        <v>5502</v>
      </c>
      <c r="D124">
        <f t="shared" ca="1" si="7"/>
        <v>2183</v>
      </c>
    </row>
    <row r="125" spans="1:4" x14ac:dyDescent="0.25">
      <c r="A125">
        <f t="shared" ca="1" si="4"/>
        <v>3.307627065950931</v>
      </c>
      <c r="B125">
        <f t="shared" ca="1" si="5"/>
        <v>92.846398367088582</v>
      </c>
      <c r="C125">
        <f t="shared" ca="1" si="6"/>
        <v>5065</v>
      </c>
      <c r="D125">
        <f t="shared" ca="1" si="7"/>
        <v>8400</v>
      </c>
    </row>
    <row r="126" spans="1:4" x14ac:dyDescent="0.25">
      <c r="A126">
        <f t="shared" ca="1" si="4"/>
        <v>2.9051646109590985</v>
      </c>
      <c r="B126">
        <f t="shared" ca="1" si="5"/>
        <v>81.264563306123364</v>
      </c>
      <c r="C126">
        <f t="shared" ca="1" si="6"/>
        <v>5150</v>
      </c>
      <c r="D126">
        <f t="shared" ca="1" si="7"/>
        <v>7486</v>
      </c>
    </row>
    <row r="127" spans="1:4" x14ac:dyDescent="0.25">
      <c r="A127">
        <f t="shared" ca="1" si="4"/>
        <v>4.1963826886277982</v>
      </c>
      <c r="B127">
        <f t="shared" ca="1" si="5"/>
        <v>89.883337750930252</v>
      </c>
      <c r="C127">
        <f t="shared" ca="1" si="6"/>
        <v>5714</v>
      </c>
      <c r="D127">
        <f t="shared" ca="1" si="7"/>
        <v>8449</v>
      </c>
    </row>
    <row r="128" spans="1:4" x14ac:dyDescent="0.25">
      <c r="A128">
        <f t="shared" ca="1" si="4"/>
        <v>1.9778533942538803</v>
      </c>
      <c r="B128">
        <f t="shared" ca="1" si="5"/>
        <v>83.879502861647154</v>
      </c>
      <c r="C128">
        <f t="shared" ca="1" si="6"/>
        <v>5049</v>
      </c>
      <c r="D128">
        <f t="shared" ca="1" si="7"/>
        <v>6599</v>
      </c>
    </row>
    <row r="129" spans="1:4" x14ac:dyDescent="0.25">
      <c r="A129">
        <f t="shared" ca="1" si="4"/>
        <v>1.5244956152136071</v>
      </c>
      <c r="B129">
        <f t="shared" ca="1" si="5"/>
        <v>97.929543925858184</v>
      </c>
      <c r="C129">
        <f t="shared" ca="1" si="6"/>
        <v>5164</v>
      </c>
      <c r="D129">
        <f t="shared" ca="1" si="7"/>
        <v>5014</v>
      </c>
    </row>
    <row r="130" spans="1:4" x14ac:dyDescent="0.25">
      <c r="A130">
        <f t="shared" ca="1" si="4"/>
        <v>4.9122024332906316</v>
      </c>
      <c r="B130">
        <f t="shared" ca="1" si="5"/>
        <v>94.725403540849996</v>
      </c>
      <c r="C130">
        <f t="shared" ca="1" si="6"/>
        <v>5104</v>
      </c>
      <c r="D130">
        <f t="shared" ca="1" si="7"/>
        <v>2983</v>
      </c>
    </row>
    <row r="131" spans="1:4" x14ac:dyDescent="0.25">
      <c r="A131">
        <f t="shared" ca="1" si="4"/>
        <v>2.2184657005660693</v>
      </c>
      <c r="B131">
        <f t="shared" ca="1" si="5"/>
        <v>91.747258205649644</v>
      </c>
      <c r="C131">
        <f t="shared" ca="1" si="6"/>
        <v>5832</v>
      </c>
      <c r="D131">
        <f t="shared" ca="1" si="7"/>
        <v>3846</v>
      </c>
    </row>
    <row r="132" spans="1:4" x14ac:dyDescent="0.25">
      <c r="A132">
        <f t="shared" ca="1" si="4"/>
        <v>4.7894738750554247</v>
      </c>
      <c r="B132">
        <f t="shared" ca="1" si="5"/>
        <v>83.87198368156173</v>
      </c>
      <c r="C132">
        <f t="shared" ca="1" si="6"/>
        <v>5543</v>
      </c>
      <c r="D132">
        <f t="shared" ca="1" si="7"/>
        <v>5772</v>
      </c>
    </row>
    <row r="133" spans="1:4" x14ac:dyDescent="0.25">
      <c r="A133">
        <f t="shared" ca="1" si="4"/>
        <v>2.4826770468555841</v>
      </c>
      <c r="B133">
        <f t="shared" ca="1" si="5"/>
        <v>96.245092731171098</v>
      </c>
      <c r="C133">
        <f t="shared" ca="1" si="6"/>
        <v>5969</v>
      </c>
      <c r="D133">
        <f t="shared" ca="1" si="7"/>
        <v>4119</v>
      </c>
    </row>
    <row r="134" spans="1:4" x14ac:dyDescent="0.25">
      <c r="A134">
        <f t="shared" ca="1" si="4"/>
        <v>3.8531695072729168</v>
      </c>
      <c r="B134">
        <f t="shared" ca="1" si="5"/>
        <v>86.632557678992569</v>
      </c>
      <c r="C134">
        <f t="shared" ca="1" si="6"/>
        <v>5775</v>
      </c>
      <c r="D134">
        <f t="shared" ca="1" si="7"/>
        <v>4000</v>
      </c>
    </row>
    <row r="135" spans="1:4" x14ac:dyDescent="0.25">
      <c r="A135">
        <f t="shared" ca="1" si="4"/>
        <v>1.8241102692553244</v>
      </c>
      <c r="B135">
        <f t="shared" ca="1" si="5"/>
        <v>91.431914470094796</v>
      </c>
      <c r="C135">
        <f t="shared" ca="1" si="6"/>
        <v>5434</v>
      </c>
      <c r="D135">
        <f t="shared" ca="1" si="7"/>
        <v>2859</v>
      </c>
    </row>
    <row r="136" spans="1:4" x14ac:dyDescent="0.25">
      <c r="A136">
        <f t="shared" ca="1" si="4"/>
        <v>2.374694544631248</v>
      </c>
      <c r="B136">
        <f t="shared" ca="1" si="5"/>
        <v>85.477477826523867</v>
      </c>
      <c r="C136">
        <f t="shared" ca="1" si="6"/>
        <v>5733</v>
      </c>
      <c r="D136">
        <f t="shared" ca="1" si="7"/>
        <v>7332</v>
      </c>
    </row>
    <row r="137" spans="1:4" x14ac:dyDescent="0.25">
      <c r="A137">
        <f t="shared" ca="1" si="4"/>
        <v>4.0372968471899222</v>
      </c>
      <c r="B137">
        <f t="shared" ca="1" si="5"/>
        <v>89.880915119884889</v>
      </c>
      <c r="C137">
        <f t="shared" ca="1" si="6"/>
        <v>5983</v>
      </c>
      <c r="D137">
        <f t="shared" ca="1" si="7"/>
        <v>3065</v>
      </c>
    </row>
    <row r="138" spans="1:4" x14ac:dyDescent="0.25">
      <c r="A138">
        <f t="shared" ca="1" si="4"/>
        <v>4.1667306981576786</v>
      </c>
      <c r="B138">
        <f t="shared" ca="1" si="5"/>
        <v>88.205922121545598</v>
      </c>
      <c r="C138">
        <f t="shared" ca="1" si="6"/>
        <v>5458</v>
      </c>
      <c r="D138">
        <f t="shared" ca="1" si="7"/>
        <v>2502</v>
      </c>
    </row>
    <row r="139" spans="1:4" x14ac:dyDescent="0.25">
      <c r="A139">
        <f t="shared" ref="A139:A202" ca="1" si="8">RAND() * (5 -1) + 1</f>
        <v>1.4378479025760447</v>
      </c>
      <c r="B139">
        <f t="shared" ref="B139:B202" ca="1" si="9">RAND() * (100 -80) +80</f>
        <v>90.07016160563083</v>
      </c>
      <c r="C139">
        <f t="shared" ref="C139:C202" ca="1" si="10">RANDBETWEEN(5000,5999)</f>
        <v>5421</v>
      </c>
      <c r="D139">
        <f t="shared" ref="D139:D202" ca="1" si="11">RANDBETWEEN(1000,9999)</f>
        <v>6356</v>
      </c>
    </row>
    <row r="140" spans="1:4" x14ac:dyDescent="0.25">
      <c r="A140">
        <f t="shared" ca="1" si="8"/>
        <v>3.3939335701880657</v>
      </c>
      <c r="B140">
        <f t="shared" ca="1" si="9"/>
        <v>93.358450282635999</v>
      </c>
      <c r="C140">
        <f t="shared" ca="1" si="10"/>
        <v>5998</v>
      </c>
      <c r="D140">
        <f t="shared" ca="1" si="11"/>
        <v>4849</v>
      </c>
    </row>
    <row r="141" spans="1:4" x14ac:dyDescent="0.25">
      <c r="A141">
        <f t="shared" ca="1" si="8"/>
        <v>2.7691639622016919</v>
      </c>
      <c r="B141">
        <f t="shared" ca="1" si="9"/>
        <v>95.937465469486114</v>
      </c>
      <c r="C141">
        <f t="shared" ca="1" si="10"/>
        <v>5769</v>
      </c>
      <c r="D141">
        <f t="shared" ca="1" si="11"/>
        <v>8265</v>
      </c>
    </row>
    <row r="142" spans="1:4" x14ac:dyDescent="0.25">
      <c r="A142">
        <f t="shared" ca="1" si="8"/>
        <v>3.667717715671186</v>
      </c>
      <c r="B142">
        <f t="shared" ca="1" si="9"/>
        <v>99.381096890119281</v>
      </c>
      <c r="C142">
        <f t="shared" ca="1" si="10"/>
        <v>5410</v>
      </c>
      <c r="D142">
        <f t="shared" ca="1" si="11"/>
        <v>1348</v>
      </c>
    </row>
    <row r="143" spans="1:4" x14ac:dyDescent="0.25">
      <c r="A143">
        <f t="shared" ca="1" si="8"/>
        <v>2.1861743465447061</v>
      </c>
      <c r="B143">
        <f t="shared" ca="1" si="9"/>
        <v>85.807182832861571</v>
      </c>
      <c r="C143">
        <f t="shared" ca="1" si="10"/>
        <v>5100</v>
      </c>
      <c r="D143">
        <f t="shared" ca="1" si="11"/>
        <v>4099</v>
      </c>
    </row>
    <row r="144" spans="1:4" x14ac:dyDescent="0.25">
      <c r="A144">
        <f t="shared" ca="1" si="8"/>
        <v>4.5821645890832823</v>
      </c>
      <c r="B144">
        <f t="shared" ca="1" si="9"/>
        <v>81.659876729866312</v>
      </c>
      <c r="C144">
        <f t="shared" ca="1" si="10"/>
        <v>5374</v>
      </c>
      <c r="D144">
        <f t="shared" ca="1" si="11"/>
        <v>5639</v>
      </c>
    </row>
    <row r="145" spans="1:4" x14ac:dyDescent="0.25">
      <c r="A145">
        <f t="shared" ca="1" si="8"/>
        <v>4.2862313354463275</v>
      </c>
      <c r="B145">
        <f t="shared" ca="1" si="9"/>
        <v>89.935560110682815</v>
      </c>
      <c r="C145">
        <f t="shared" ca="1" si="10"/>
        <v>5491</v>
      </c>
      <c r="D145">
        <f t="shared" ca="1" si="11"/>
        <v>9633</v>
      </c>
    </row>
    <row r="146" spans="1:4" x14ac:dyDescent="0.25">
      <c r="A146">
        <f t="shared" ca="1" si="8"/>
        <v>3.8164134450557063</v>
      </c>
      <c r="B146">
        <f t="shared" ca="1" si="9"/>
        <v>86.432426815252157</v>
      </c>
      <c r="C146">
        <f t="shared" ca="1" si="10"/>
        <v>5445</v>
      </c>
      <c r="D146">
        <f t="shared" ca="1" si="11"/>
        <v>5054</v>
      </c>
    </row>
    <row r="147" spans="1:4" x14ac:dyDescent="0.25">
      <c r="A147">
        <f t="shared" ca="1" si="8"/>
        <v>3.8918689067043033</v>
      </c>
      <c r="B147">
        <f t="shared" ca="1" si="9"/>
        <v>95.560195609100219</v>
      </c>
      <c r="C147">
        <f t="shared" ca="1" si="10"/>
        <v>5912</v>
      </c>
      <c r="D147">
        <f t="shared" ca="1" si="11"/>
        <v>3928</v>
      </c>
    </row>
    <row r="148" spans="1:4" x14ac:dyDescent="0.25">
      <c r="A148">
        <f t="shared" ca="1" si="8"/>
        <v>1.3566531172588756</v>
      </c>
      <c r="B148">
        <f t="shared" ca="1" si="9"/>
        <v>86.757088963306842</v>
      </c>
      <c r="C148">
        <f t="shared" ca="1" si="10"/>
        <v>5780</v>
      </c>
      <c r="D148">
        <f t="shared" ca="1" si="11"/>
        <v>2682</v>
      </c>
    </row>
    <row r="149" spans="1:4" x14ac:dyDescent="0.25">
      <c r="A149">
        <f t="shared" ca="1" si="8"/>
        <v>3.7125227322930612</v>
      </c>
      <c r="B149">
        <f t="shared" ca="1" si="9"/>
        <v>91.274405286029818</v>
      </c>
      <c r="C149">
        <f t="shared" ca="1" si="10"/>
        <v>5160</v>
      </c>
      <c r="D149">
        <f t="shared" ca="1" si="11"/>
        <v>3611</v>
      </c>
    </row>
    <row r="150" spans="1:4" x14ac:dyDescent="0.25">
      <c r="A150">
        <f t="shared" ca="1" si="8"/>
        <v>2.3942416029885072</v>
      </c>
      <c r="B150">
        <f t="shared" ca="1" si="9"/>
        <v>81.131153077627587</v>
      </c>
      <c r="C150">
        <f t="shared" ca="1" si="10"/>
        <v>5883</v>
      </c>
      <c r="D150">
        <f t="shared" ca="1" si="11"/>
        <v>6578</v>
      </c>
    </row>
    <row r="151" spans="1:4" x14ac:dyDescent="0.25">
      <c r="A151">
        <f t="shared" ca="1" si="8"/>
        <v>4.2655698741799686</v>
      </c>
      <c r="B151">
        <f t="shared" ca="1" si="9"/>
        <v>80.568514992664319</v>
      </c>
      <c r="C151">
        <f t="shared" ca="1" si="10"/>
        <v>5464</v>
      </c>
      <c r="D151">
        <f t="shared" ca="1" si="11"/>
        <v>7340</v>
      </c>
    </row>
    <row r="152" spans="1:4" x14ac:dyDescent="0.25">
      <c r="A152">
        <f t="shared" ca="1" si="8"/>
        <v>1.8678118170727824</v>
      </c>
      <c r="B152">
        <f t="shared" ca="1" si="9"/>
        <v>85.216420125794301</v>
      </c>
      <c r="C152">
        <f t="shared" ca="1" si="10"/>
        <v>5707</v>
      </c>
      <c r="D152">
        <f t="shared" ca="1" si="11"/>
        <v>4599</v>
      </c>
    </row>
    <row r="153" spans="1:4" x14ac:dyDescent="0.25">
      <c r="A153">
        <f t="shared" ca="1" si="8"/>
        <v>1.0107056703188877</v>
      </c>
      <c r="B153">
        <f t="shared" ca="1" si="9"/>
        <v>91.464788877317403</v>
      </c>
      <c r="C153">
        <f t="shared" ca="1" si="10"/>
        <v>5566</v>
      </c>
      <c r="D153">
        <f t="shared" ca="1" si="11"/>
        <v>6853</v>
      </c>
    </row>
    <row r="154" spans="1:4" x14ac:dyDescent="0.25">
      <c r="A154">
        <f t="shared" ca="1" si="8"/>
        <v>2.020863215770857</v>
      </c>
      <c r="B154">
        <f t="shared" ca="1" si="9"/>
        <v>84.495749495276286</v>
      </c>
      <c r="C154">
        <f t="shared" ca="1" si="10"/>
        <v>5878</v>
      </c>
      <c r="D154">
        <f t="shared" ca="1" si="11"/>
        <v>8524</v>
      </c>
    </row>
    <row r="155" spans="1:4" x14ac:dyDescent="0.25">
      <c r="A155">
        <f t="shared" ca="1" si="8"/>
        <v>3.4175620579657782</v>
      </c>
      <c r="B155">
        <f t="shared" ca="1" si="9"/>
        <v>88.376602092257627</v>
      </c>
      <c r="C155">
        <f t="shared" ca="1" si="10"/>
        <v>5280</v>
      </c>
      <c r="D155">
        <f t="shared" ca="1" si="11"/>
        <v>6324</v>
      </c>
    </row>
    <row r="156" spans="1:4" x14ac:dyDescent="0.25">
      <c r="A156">
        <f t="shared" ca="1" si="8"/>
        <v>2.5193104185839372</v>
      </c>
      <c r="B156">
        <f t="shared" ca="1" si="9"/>
        <v>99.116828734587671</v>
      </c>
      <c r="C156">
        <f t="shared" ca="1" si="10"/>
        <v>5143</v>
      </c>
      <c r="D156">
        <f t="shared" ca="1" si="11"/>
        <v>8314</v>
      </c>
    </row>
    <row r="157" spans="1:4" x14ac:dyDescent="0.25">
      <c r="A157">
        <f t="shared" ca="1" si="8"/>
        <v>2.5206763628782256</v>
      </c>
      <c r="B157">
        <f t="shared" ca="1" si="9"/>
        <v>96.215480061308227</v>
      </c>
      <c r="C157">
        <f t="shared" ca="1" si="10"/>
        <v>5407</v>
      </c>
      <c r="D157">
        <f t="shared" ca="1" si="11"/>
        <v>5862</v>
      </c>
    </row>
    <row r="158" spans="1:4" x14ac:dyDescent="0.25">
      <c r="A158">
        <f t="shared" ca="1" si="8"/>
        <v>2.0237727529635947</v>
      </c>
      <c r="B158">
        <f t="shared" ca="1" si="9"/>
        <v>84.136741908652311</v>
      </c>
      <c r="C158">
        <f t="shared" ca="1" si="10"/>
        <v>5568</v>
      </c>
      <c r="D158">
        <f t="shared" ca="1" si="11"/>
        <v>3500</v>
      </c>
    </row>
    <row r="159" spans="1:4" x14ac:dyDescent="0.25">
      <c r="A159">
        <f t="shared" ca="1" si="8"/>
        <v>2.0467459454729804</v>
      </c>
      <c r="B159">
        <f t="shared" ca="1" si="9"/>
        <v>82.971760988932346</v>
      </c>
      <c r="C159">
        <f t="shared" ca="1" si="10"/>
        <v>5339</v>
      </c>
      <c r="D159">
        <f t="shared" ca="1" si="11"/>
        <v>9870</v>
      </c>
    </row>
    <row r="160" spans="1:4" x14ac:dyDescent="0.25">
      <c r="A160">
        <f t="shared" ca="1" si="8"/>
        <v>3.1980063506908665</v>
      </c>
      <c r="B160">
        <f t="shared" ca="1" si="9"/>
        <v>91.171514458923667</v>
      </c>
      <c r="C160">
        <f t="shared" ca="1" si="10"/>
        <v>5522</v>
      </c>
      <c r="D160">
        <f t="shared" ca="1" si="11"/>
        <v>1027</v>
      </c>
    </row>
    <row r="161" spans="1:4" x14ac:dyDescent="0.25">
      <c r="A161">
        <f t="shared" ca="1" si="8"/>
        <v>1.0661827350287343</v>
      </c>
      <c r="B161">
        <f t="shared" ca="1" si="9"/>
        <v>80.892956279668013</v>
      </c>
      <c r="C161">
        <f t="shared" ca="1" si="10"/>
        <v>5869</v>
      </c>
      <c r="D161">
        <f t="shared" ca="1" si="11"/>
        <v>7171</v>
      </c>
    </row>
    <row r="162" spans="1:4" x14ac:dyDescent="0.25">
      <c r="A162">
        <f t="shared" ca="1" si="8"/>
        <v>1.3168548184682543</v>
      </c>
      <c r="B162">
        <f t="shared" ca="1" si="9"/>
        <v>83.908727369951961</v>
      </c>
      <c r="C162">
        <f t="shared" ca="1" si="10"/>
        <v>5534</v>
      </c>
      <c r="D162">
        <f t="shared" ca="1" si="11"/>
        <v>3449</v>
      </c>
    </row>
    <row r="163" spans="1:4" x14ac:dyDescent="0.25">
      <c r="A163">
        <f t="shared" ca="1" si="8"/>
        <v>3.7773541845221428</v>
      </c>
      <c r="B163">
        <f t="shared" ca="1" si="9"/>
        <v>86.960189558603773</v>
      </c>
      <c r="C163">
        <f t="shared" ca="1" si="10"/>
        <v>5537</v>
      </c>
      <c r="D163">
        <f t="shared" ca="1" si="11"/>
        <v>5568</v>
      </c>
    </row>
    <row r="164" spans="1:4" x14ac:dyDescent="0.25">
      <c r="A164">
        <f t="shared" ca="1" si="8"/>
        <v>1.8968341395094592</v>
      </c>
      <c r="B164">
        <f t="shared" ca="1" si="9"/>
        <v>92.174583806856631</v>
      </c>
      <c r="C164">
        <f t="shared" ca="1" si="10"/>
        <v>5732</v>
      </c>
      <c r="D164">
        <f t="shared" ca="1" si="11"/>
        <v>3679</v>
      </c>
    </row>
    <row r="165" spans="1:4" x14ac:dyDescent="0.25">
      <c r="A165">
        <f t="shared" ca="1" si="8"/>
        <v>1.9875467445149635</v>
      </c>
      <c r="B165">
        <f t="shared" ca="1" si="9"/>
        <v>81.051497658402837</v>
      </c>
      <c r="C165">
        <f t="shared" ca="1" si="10"/>
        <v>5253</v>
      </c>
      <c r="D165">
        <f t="shared" ca="1" si="11"/>
        <v>7187</v>
      </c>
    </row>
    <row r="166" spans="1:4" x14ac:dyDescent="0.25">
      <c r="A166">
        <f t="shared" ca="1" si="8"/>
        <v>1.4825036021354268</v>
      </c>
      <c r="B166">
        <f t="shared" ca="1" si="9"/>
        <v>86.57938824301128</v>
      </c>
      <c r="C166">
        <f t="shared" ca="1" si="10"/>
        <v>5299</v>
      </c>
      <c r="D166">
        <f t="shared" ca="1" si="11"/>
        <v>3335</v>
      </c>
    </row>
    <row r="167" spans="1:4" x14ac:dyDescent="0.25">
      <c r="A167">
        <f t="shared" ca="1" si="8"/>
        <v>4.4876254419757995</v>
      </c>
      <c r="B167">
        <f t="shared" ca="1" si="9"/>
        <v>87.316117870819284</v>
      </c>
      <c r="C167">
        <f t="shared" ca="1" si="10"/>
        <v>5395</v>
      </c>
      <c r="D167">
        <f t="shared" ca="1" si="11"/>
        <v>1688</v>
      </c>
    </row>
    <row r="168" spans="1:4" x14ac:dyDescent="0.25">
      <c r="A168">
        <f t="shared" ca="1" si="8"/>
        <v>4.8580583054273125</v>
      </c>
      <c r="B168">
        <f t="shared" ca="1" si="9"/>
        <v>96.119789269718581</v>
      </c>
      <c r="C168">
        <f t="shared" ca="1" si="10"/>
        <v>5924</v>
      </c>
      <c r="D168">
        <f t="shared" ca="1" si="11"/>
        <v>2742</v>
      </c>
    </row>
    <row r="169" spans="1:4" x14ac:dyDescent="0.25">
      <c r="A169">
        <f t="shared" ca="1" si="8"/>
        <v>4.6546516785301471</v>
      </c>
      <c r="B169">
        <f t="shared" ca="1" si="9"/>
        <v>94.398447595832224</v>
      </c>
      <c r="C169">
        <f t="shared" ca="1" si="10"/>
        <v>5016</v>
      </c>
      <c r="D169">
        <f t="shared" ca="1" si="11"/>
        <v>7919</v>
      </c>
    </row>
    <row r="170" spans="1:4" x14ac:dyDescent="0.25">
      <c r="A170">
        <f t="shared" ca="1" si="8"/>
        <v>3.3716846983208835</v>
      </c>
      <c r="B170">
        <f t="shared" ca="1" si="9"/>
        <v>85.423803979666658</v>
      </c>
      <c r="C170">
        <f t="shared" ca="1" si="10"/>
        <v>5083</v>
      </c>
      <c r="D170">
        <f t="shared" ca="1" si="11"/>
        <v>8262</v>
      </c>
    </row>
    <row r="171" spans="1:4" x14ac:dyDescent="0.25">
      <c r="A171">
        <f t="shared" ca="1" si="8"/>
        <v>4.4082846885981013</v>
      </c>
      <c r="B171">
        <f t="shared" ca="1" si="9"/>
        <v>84.123528143295715</v>
      </c>
      <c r="C171">
        <f t="shared" ca="1" si="10"/>
        <v>5283</v>
      </c>
      <c r="D171">
        <f t="shared" ca="1" si="11"/>
        <v>8259</v>
      </c>
    </row>
    <row r="172" spans="1:4" x14ac:dyDescent="0.25">
      <c r="A172">
        <f t="shared" ca="1" si="8"/>
        <v>2.4543863001267501</v>
      </c>
      <c r="B172">
        <f t="shared" ca="1" si="9"/>
        <v>95.128312669644089</v>
      </c>
      <c r="C172">
        <f t="shared" ca="1" si="10"/>
        <v>5444</v>
      </c>
      <c r="D172">
        <f t="shared" ca="1" si="11"/>
        <v>8239</v>
      </c>
    </row>
    <row r="173" spans="1:4" x14ac:dyDescent="0.25">
      <c r="A173">
        <f t="shared" ca="1" si="8"/>
        <v>1.5232521400715267</v>
      </c>
      <c r="B173">
        <f t="shared" ca="1" si="9"/>
        <v>84.209112679527067</v>
      </c>
      <c r="C173">
        <f t="shared" ca="1" si="10"/>
        <v>5393</v>
      </c>
      <c r="D173">
        <f t="shared" ca="1" si="11"/>
        <v>9562</v>
      </c>
    </row>
    <row r="174" spans="1:4" x14ac:dyDescent="0.25">
      <c r="A174">
        <f t="shared" ca="1" si="8"/>
        <v>1.3188279700773919</v>
      </c>
      <c r="B174">
        <f t="shared" ca="1" si="9"/>
        <v>87.730321246875747</v>
      </c>
      <c r="C174">
        <f t="shared" ca="1" si="10"/>
        <v>5182</v>
      </c>
      <c r="D174">
        <f t="shared" ca="1" si="11"/>
        <v>8447</v>
      </c>
    </row>
    <row r="175" spans="1:4" x14ac:dyDescent="0.25">
      <c r="A175">
        <f t="shared" ca="1" si="8"/>
        <v>2.0963381908851235</v>
      </c>
      <c r="B175">
        <f t="shared" ca="1" si="9"/>
        <v>81.351132148502671</v>
      </c>
      <c r="C175">
        <f t="shared" ca="1" si="10"/>
        <v>5891</v>
      </c>
      <c r="D175">
        <f t="shared" ca="1" si="11"/>
        <v>3601</v>
      </c>
    </row>
    <row r="176" spans="1:4" x14ac:dyDescent="0.25">
      <c r="A176">
        <f t="shared" ca="1" si="8"/>
        <v>1.2752862162024479</v>
      </c>
      <c r="B176">
        <f t="shared" ca="1" si="9"/>
        <v>90.745468134357495</v>
      </c>
      <c r="C176">
        <f t="shared" ca="1" si="10"/>
        <v>5283</v>
      </c>
      <c r="D176">
        <f t="shared" ca="1" si="11"/>
        <v>7145</v>
      </c>
    </row>
    <row r="177" spans="1:4" x14ac:dyDescent="0.25">
      <c r="A177">
        <f t="shared" ca="1" si="8"/>
        <v>4.8282095237395648</v>
      </c>
      <c r="B177">
        <f t="shared" ca="1" si="9"/>
        <v>90.490035883884232</v>
      </c>
      <c r="C177">
        <f t="shared" ca="1" si="10"/>
        <v>5335</v>
      </c>
      <c r="D177">
        <f t="shared" ca="1" si="11"/>
        <v>6491</v>
      </c>
    </row>
    <row r="178" spans="1:4" x14ac:dyDescent="0.25">
      <c r="A178">
        <f t="shared" ca="1" si="8"/>
        <v>4.1058938359725801</v>
      </c>
      <c r="B178">
        <f t="shared" ca="1" si="9"/>
        <v>87.517748864021783</v>
      </c>
      <c r="C178">
        <f t="shared" ca="1" si="10"/>
        <v>5973</v>
      </c>
      <c r="D178">
        <f t="shared" ca="1" si="11"/>
        <v>8917</v>
      </c>
    </row>
    <row r="179" spans="1:4" x14ac:dyDescent="0.25">
      <c r="A179">
        <f t="shared" ca="1" si="8"/>
        <v>2.1201353960917508</v>
      </c>
      <c r="B179">
        <f t="shared" ca="1" si="9"/>
        <v>97.912092928439492</v>
      </c>
      <c r="C179">
        <f t="shared" ca="1" si="10"/>
        <v>5584</v>
      </c>
      <c r="D179">
        <f t="shared" ca="1" si="11"/>
        <v>6934</v>
      </c>
    </row>
    <row r="180" spans="1:4" x14ac:dyDescent="0.25">
      <c r="A180">
        <f t="shared" ca="1" si="8"/>
        <v>4.9974234252803473</v>
      </c>
      <c r="B180">
        <f t="shared" ca="1" si="9"/>
        <v>82.38737714439965</v>
      </c>
      <c r="C180">
        <f t="shared" ca="1" si="10"/>
        <v>5798</v>
      </c>
      <c r="D180">
        <f t="shared" ca="1" si="11"/>
        <v>9947</v>
      </c>
    </row>
    <row r="181" spans="1:4" x14ac:dyDescent="0.25">
      <c r="A181">
        <f t="shared" ca="1" si="8"/>
        <v>3.6962027392848706</v>
      </c>
      <c r="B181">
        <f t="shared" ca="1" si="9"/>
        <v>94.376700994455021</v>
      </c>
      <c r="C181">
        <f t="shared" ca="1" si="10"/>
        <v>5671</v>
      </c>
      <c r="D181">
        <f t="shared" ca="1" si="11"/>
        <v>5668</v>
      </c>
    </row>
    <row r="182" spans="1:4" x14ac:dyDescent="0.25">
      <c r="A182">
        <f t="shared" ca="1" si="8"/>
        <v>3.1264968368945127</v>
      </c>
      <c r="B182">
        <f t="shared" ca="1" si="9"/>
        <v>98.230102741355523</v>
      </c>
      <c r="C182">
        <f t="shared" ca="1" si="10"/>
        <v>5017</v>
      </c>
      <c r="D182">
        <f t="shared" ca="1" si="11"/>
        <v>6143</v>
      </c>
    </row>
    <row r="183" spans="1:4" x14ac:dyDescent="0.25">
      <c r="A183">
        <f t="shared" ca="1" si="8"/>
        <v>2.0722442403738373</v>
      </c>
      <c r="B183">
        <f t="shared" ca="1" si="9"/>
        <v>92.714229249665479</v>
      </c>
      <c r="C183">
        <f t="shared" ca="1" si="10"/>
        <v>5744</v>
      </c>
      <c r="D183">
        <f t="shared" ca="1" si="11"/>
        <v>9382</v>
      </c>
    </row>
    <row r="184" spans="1:4" x14ac:dyDescent="0.25">
      <c r="A184">
        <f t="shared" ca="1" si="8"/>
        <v>2.2526433323258761</v>
      </c>
      <c r="B184">
        <f t="shared" ca="1" si="9"/>
        <v>83.828485937935582</v>
      </c>
      <c r="C184">
        <f t="shared" ca="1" si="10"/>
        <v>5087</v>
      </c>
      <c r="D184">
        <f t="shared" ca="1" si="11"/>
        <v>9405</v>
      </c>
    </row>
    <row r="185" spans="1:4" x14ac:dyDescent="0.25">
      <c r="A185">
        <f t="shared" ca="1" si="8"/>
        <v>1.8007005051001173</v>
      </c>
      <c r="B185">
        <f t="shared" ca="1" si="9"/>
        <v>82.681740269904594</v>
      </c>
      <c r="C185">
        <f t="shared" ca="1" si="10"/>
        <v>5225</v>
      </c>
      <c r="D185">
        <f t="shared" ca="1" si="11"/>
        <v>3076</v>
      </c>
    </row>
    <row r="186" spans="1:4" x14ac:dyDescent="0.25">
      <c r="A186">
        <f t="shared" ca="1" si="8"/>
        <v>2.7429415201551919</v>
      </c>
      <c r="B186">
        <f t="shared" ca="1" si="9"/>
        <v>92.793105577019901</v>
      </c>
      <c r="C186">
        <f t="shared" ca="1" si="10"/>
        <v>5790</v>
      </c>
      <c r="D186">
        <f t="shared" ca="1" si="11"/>
        <v>5557</v>
      </c>
    </row>
    <row r="187" spans="1:4" x14ac:dyDescent="0.25">
      <c r="A187">
        <f t="shared" ca="1" si="8"/>
        <v>1.4397651766947259</v>
      </c>
      <c r="B187">
        <f t="shared" ca="1" si="9"/>
        <v>97.70724253930463</v>
      </c>
      <c r="C187">
        <f t="shared" ca="1" si="10"/>
        <v>5395</v>
      </c>
      <c r="D187">
        <f t="shared" ca="1" si="11"/>
        <v>9731</v>
      </c>
    </row>
    <row r="188" spans="1:4" x14ac:dyDescent="0.25">
      <c r="A188">
        <f t="shared" ca="1" si="8"/>
        <v>2.9397716460707741</v>
      </c>
      <c r="B188">
        <f t="shared" ca="1" si="9"/>
        <v>88.44894001421109</v>
      </c>
      <c r="C188">
        <f t="shared" ca="1" si="10"/>
        <v>5879</v>
      </c>
      <c r="D188">
        <f t="shared" ca="1" si="11"/>
        <v>1052</v>
      </c>
    </row>
    <row r="189" spans="1:4" x14ac:dyDescent="0.25">
      <c r="A189">
        <f t="shared" ca="1" si="8"/>
        <v>4.028557259327374</v>
      </c>
      <c r="B189">
        <f t="shared" ca="1" si="9"/>
        <v>88.510662403810173</v>
      </c>
      <c r="C189">
        <f t="shared" ca="1" si="10"/>
        <v>5950</v>
      </c>
      <c r="D189">
        <f t="shared" ca="1" si="11"/>
        <v>7413</v>
      </c>
    </row>
    <row r="190" spans="1:4" x14ac:dyDescent="0.25">
      <c r="A190">
        <f t="shared" ca="1" si="8"/>
        <v>4.4348768603823387</v>
      </c>
      <c r="B190">
        <f t="shared" ca="1" si="9"/>
        <v>97.617676491091999</v>
      </c>
      <c r="C190">
        <f t="shared" ca="1" si="10"/>
        <v>5248</v>
      </c>
      <c r="D190">
        <f t="shared" ca="1" si="11"/>
        <v>7487</v>
      </c>
    </row>
    <row r="191" spans="1:4" x14ac:dyDescent="0.25">
      <c r="A191">
        <f t="shared" ca="1" si="8"/>
        <v>2.6954936091389063</v>
      </c>
      <c r="B191">
        <f t="shared" ca="1" si="9"/>
        <v>99.299481896786546</v>
      </c>
      <c r="C191">
        <f t="shared" ca="1" si="10"/>
        <v>5362</v>
      </c>
      <c r="D191">
        <f t="shared" ca="1" si="11"/>
        <v>2926</v>
      </c>
    </row>
    <row r="192" spans="1:4" x14ac:dyDescent="0.25">
      <c r="A192">
        <f t="shared" ca="1" si="8"/>
        <v>2.6273713893519504</v>
      </c>
      <c r="B192">
        <f t="shared" ca="1" si="9"/>
        <v>83.45816550230424</v>
      </c>
      <c r="C192">
        <f t="shared" ca="1" si="10"/>
        <v>5533</v>
      </c>
      <c r="D192">
        <f t="shared" ca="1" si="11"/>
        <v>6258</v>
      </c>
    </row>
    <row r="193" spans="1:4" x14ac:dyDescent="0.25">
      <c r="A193">
        <f t="shared" ca="1" si="8"/>
        <v>3.3925168143630429</v>
      </c>
      <c r="B193">
        <f t="shared" ca="1" si="9"/>
        <v>91.732643080053421</v>
      </c>
      <c r="C193">
        <f t="shared" ca="1" si="10"/>
        <v>5661</v>
      </c>
      <c r="D193">
        <f t="shared" ca="1" si="11"/>
        <v>1708</v>
      </c>
    </row>
    <row r="194" spans="1:4" x14ac:dyDescent="0.25">
      <c r="A194">
        <f t="shared" ca="1" si="8"/>
        <v>3.3254295590187946</v>
      </c>
      <c r="B194">
        <f t="shared" ca="1" si="9"/>
        <v>85.76648956681457</v>
      </c>
      <c r="C194">
        <f t="shared" ca="1" si="10"/>
        <v>5548</v>
      </c>
      <c r="D194">
        <f t="shared" ca="1" si="11"/>
        <v>8470</v>
      </c>
    </row>
    <row r="195" spans="1:4" x14ac:dyDescent="0.25">
      <c r="A195">
        <f t="shared" ca="1" si="8"/>
        <v>2.5756509995673493</v>
      </c>
      <c r="B195">
        <f t="shared" ca="1" si="9"/>
        <v>84.18067104232388</v>
      </c>
      <c r="C195">
        <f t="shared" ca="1" si="10"/>
        <v>5968</v>
      </c>
      <c r="D195">
        <f t="shared" ca="1" si="11"/>
        <v>2928</v>
      </c>
    </row>
    <row r="196" spans="1:4" x14ac:dyDescent="0.25">
      <c r="A196">
        <f t="shared" ca="1" si="8"/>
        <v>4.2838516160849096</v>
      </c>
      <c r="B196">
        <f t="shared" ca="1" si="9"/>
        <v>85.00534560035689</v>
      </c>
      <c r="C196">
        <f t="shared" ca="1" si="10"/>
        <v>5206</v>
      </c>
      <c r="D196">
        <f t="shared" ca="1" si="11"/>
        <v>4611</v>
      </c>
    </row>
    <row r="197" spans="1:4" x14ac:dyDescent="0.25">
      <c r="A197">
        <f t="shared" ca="1" si="8"/>
        <v>3.9803653166498396</v>
      </c>
      <c r="B197">
        <f t="shared" ca="1" si="9"/>
        <v>80.524017823009103</v>
      </c>
      <c r="C197">
        <f t="shared" ca="1" si="10"/>
        <v>5503</v>
      </c>
      <c r="D197">
        <f t="shared" ca="1" si="11"/>
        <v>2643</v>
      </c>
    </row>
    <row r="198" spans="1:4" x14ac:dyDescent="0.25">
      <c r="A198">
        <f t="shared" ca="1" si="8"/>
        <v>4.950743080251117</v>
      </c>
      <c r="B198">
        <f t="shared" ca="1" si="9"/>
        <v>85.652439731203344</v>
      </c>
      <c r="C198">
        <f t="shared" ca="1" si="10"/>
        <v>5438</v>
      </c>
      <c r="D198">
        <f t="shared" ca="1" si="11"/>
        <v>4926</v>
      </c>
    </row>
    <row r="199" spans="1:4" x14ac:dyDescent="0.25">
      <c r="A199">
        <f ca="1">RAND() * (5 -1) + 1</f>
        <v>3.8465350707535246</v>
      </c>
      <c r="B199">
        <f t="shared" ca="1" si="9"/>
        <v>96.584592502328192</v>
      </c>
      <c r="C199">
        <f t="shared" ca="1" si="10"/>
        <v>5736</v>
      </c>
      <c r="D199">
        <f t="shared" ca="1" si="11"/>
        <v>8916</v>
      </c>
    </row>
    <row r="200" spans="1:4" x14ac:dyDescent="0.25">
      <c r="A200">
        <f t="shared" ca="1" si="8"/>
        <v>2.3168992883156077</v>
      </c>
      <c r="B200">
        <f t="shared" ca="1" si="9"/>
        <v>83.099426860832381</v>
      </c>
      <c r="C200">
        <f t="shared" ca="1" si="10"/>
        <v>5118</v>
      </c>
      <c r="D200">
        <f t="shared" ca="1" si="11"/>
        <v>5079</v>
      </c>
    </row>
    <row r="201" spans="1:4" x14ac:dyDescent="0.25">
      <c r="A201">
        <f t="shared" ca="1" si="8"/>
        <v>1.5182485504974803</v>
      </c>
      <c r="B201">
        <f t="shared" ca="1" si="9"/>
        <v>93.728431956719035</v>
      </c>
      <c r="C201">
        <f t="shared" ca="1" si="10"/>
        <v>5200</v>
      </c>
      <c r="D201">
        <f t="shared" ca="1" si="11"/>
        <v>6046</v>
      </c>
    </row>
    <row r="202" spans="1:4" x14ac:dyDescent="0.25">
      <c r="A202">
        <f t="shared" ca="1" si="8"/>
        <v>2.3796566517298392</v>
      </c>
      <c r="B202">
        <f t="shared" ca="1" si="9"/>
        <v>88.692888088713516</v>
      </c>
      <c r="C202">
        <f t="shared" ca="1" si="10"/>
        <v>5497</v>
      </c>
      <c r="D202">
        <f t="shared" ca="1" si="11"/>
        <v>4749</v>
      </c>
    </row>
    <row r="203" spans="1:4" x14ac:dyDescent="0.25">
      <c r="A203">
        <f t="shared" ref="A203:A210" ca="1" si="12">RAND() * (5 -1) + 1</f>
        <v>1.1774292454424842</v>
      </c>
      <c r="B203">
        <f t="shared" ref="B203:B210" ca="1" si="13">RAND() * (100 -80) +80</f>
        <v>99.27676980078904</v>
      </c>
      <c r="C203">
        <f t="shared" ref="C203:C210" ca="1" si="14">RANDBETWEEN(5000,5999)</f>
        <v>5442</v>
      </c>
      <c r="D203">
        <f t="shared" ref="D203:D210" ca="1" si="15">RANDBETWEEN(1000,9999)</f>
        <v>1627</v>
      </c>
    </row>
    <row r="204" spans="1:4" x14ac:dyDescent="0.25">
      <c r="A204">
        <f t="shared" ca="1" si="12"/>
        <v>4.7360695774460586</v>
      </c>
      <c r="B204">
        <f t="shared" ca="1" si="13"/>
        <v>95.608516771251388</v>
      </c>
      <c r="C204">
        <f t="shared" ca="1" si="14"/>
        <v>5349</v>
      </c>
      <c r="D204">
        <f t="shared" ca="1" si="15"/>
        <v>6185</v>
      </c>
    </row>
    <row r="205" spans="1:4" x14ac:dyDescent="0.25">
      <c r="A205">
        <f t="shared" ca="1" si="12"/>
        <v>3.2470132465525832</v>
      </c>
      <c r="B205">
        <f t="shared" ca="1" si="13"/>
        <v>84.325184257749754</v>
      </c>
      <c r="C205">
        <f t="shared" ca="1" si="14"/>
        <v>5721</v>
      </c>
      <c r="D205">
        <f t="shared" ca="1" si="15"/>
        <v>9636</v>
      </c>
    </row>
    <row r="206" spans="1:4" x14ac:dyDescent="0.25">
      <c r="A206">
        <f t="shared" ca="1" si="12"/>
        <v>3.6060324994847943</v>
      </c>
      <c r="B206">
        <f t="shared" ca="1" si="13"/>
        <v>86.734623760868431</v>
      </c>
      <c r="C206">
        <f t="shared" ca="1" si="14"/>
        <v>5623</v>
      </c>
      <c r="D206">
        <f t="shared" ca="1" si="15"/>
        <v>6466</v>
      </c>
    </row>
    <row r="207" spans="1:4" x14ac:dyDescent="0.25">
      <c r="A207">
        <f t="shared" ca="1" si="12"/>
        <v>3.4116698099443337</v>
      </c>
      <c r="B207">
        <f t="shared" ca="1" si="13"/>
        <v>91.725600593220676</v>
      </c>
      <c r="C207">
        <f t="shared" ca="1" si="14"/>
        <v>5237</v>
      </c>
      <c r="D207">
        <f t="shared" ca="1" si="15"/>
        <v>4068</v>
      </c>
    </row>
    <row r="208" spans="1:4" x14ac:dyDescent="0.25">
      <c r="A208">
        <f t="shared" ca="1" si="12"/>
        <v>2.8888085590744437</v>
      </c>
      <c r="B208">
        <f t="shared" ca="1" si="13"/>
        <v>99.428946044542869</v>
      </c>
      <c r="C208">
        <f t="shared" ca="1" si="14"/>
        <v>5177</v>
      </c>
      <c r="D208">
        <f t="shared" ca="1" si="15"/>
        <v>3370</v>
      </c>
    </row>
    <row r="209" spans="1:4" x14ac:dyDescent="0.25">
      <c r="A209">
        <f t="shared" ca="1" si="12"/>
        <v>4.4056310797889608</v>
      </c>
      <c r="B209">
        <f t="shared" ca="1" si="13"/>
        <v>86.65191216283911</v>
      </c>
      <c r="C209">
        <f t="shared" ca="1" si="14"/>
        <v>5111</v>
      </c>
      <c r="D209">
        <f t="shared" ca="1" si="15"/>
        <v>6585</v>
      </c>
    </row>
    <row r="210" spans="1:4" x14ac:dyDescent="0.25">
      <c r="A210">
        <f t="shared" ca="1" si="12"/>
        <v>1.2072107263755614</v>
      </c>
      <c r="B210">
        <f t="shared" ca="1" si="13"/>
        <v>90.653288889672979</v>
      </c>
      <c r="C210">
        <f t="shared" ca="1" si="14"/>
        <v>5208</v>
      </c>
      <c r="D210">
        <f t="shared" ca="1" si="15"/>
        <v>3995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C13B4-6637-4C9C-8942-BFD76579FCD7}">
  <dimension ref="A1:A201"/>
  <sheetViews>
    <sheetView workbookViewId="0">
      <selection activeCell="A2" sqref="A2:A201"/>
    </sheetView>
  </sheetViews>
  <sheetFormatPr defaultRowHeight="15" x14ac:dyDescent="0.25"/>
  <sheetData>
    <row r="1" spans="1:1" x14ac:dyDescent="0.25">
      <c r="A1" t="s">
        <v>115</v>
      </c>
    </row>
    <row r="2" spans="1:1" x14ac:dyDescent="0.25">
      <c r="A2">
        <f ca="1">RAND() * (10 -5) +5</f>
        <v>7.8939528158660934</v>
      </c>
    </row>
    <row r="3" spans="1:1" x14ac:dyDescent="0.25">
      <c r="A3">
        <f t="shared" ref="A3:A66" ca="1" si="0">RAND() * (10 -5) +5</f>
        <v>9.8375520856148064</v>
      </c>
    </row>
    <row r="4" spans="1:1" x14ac:dyDescent="0.25">
      <c r="A4">
        <f t="shared" ca="1" si="0"/>
        <v>5.9185356300976801</v>
      </c>
    </row>
    <row r="5" spans="1:1" x14ac:dyDescent="0.25">
      <c r="A5">
        <f t="shared" ca="1" si="0"/>
        <v>6.2669330690210963</v>
      </c>
    </row>
    <row r="6" spans="1:1" x14ac:dyDescent="0.25">
      <c r="A6">
        <f t="shared" ca="1" si="0"/>
        <v>5.3069841050522992</v>
      </c>
    </row>
    <row r="7" spans="1:1" x14ac:dyDescent="0.25">
      <c r="A7">
        <f t="shared" ca="1" si="0"/>
        <v>7.0254493887654146</v>
      </c>
    </row>
    <row r="8" spans="1:1" x14ac:dyDescent="0.25">
      <c r="A8">
        <f t="shared" ca="1" si="0"/>
        <v>8.8507922318480503</v>
      </c>
    </row>
    <row r="9" spans="1:1" x14ac:dyDescent="0.25">
      <c r="A9">
        <f t="shared" ca="1" si="0"/>
        <v>9.1199049316936751</v>
      </c>
    </row>
    <row r="10" spans="1:1" x14ac:dyDescent="0.25">
      <c r="A10">
        <f t="shared" ca="1" si="0"/>
        <v>6.6552747421983183</v>
      </c>
    </row>
    <row r="11" spans="1:1" x14ac:dyDescent="0.25">
      <c r="A11">
        <f t="shared" ca="1" si="0"/>
        <v>7.2758951841660497</v>
      </c>
    </row>
    <row r="12" spans="1:1" x14ac:dyDescent="0.25">
      <c r="A12">
        <f t="shared" ca="1" si="0"/>
        <v>8.3107503475455538</v>
      </c>
    </row>
    <row r="13" spans="1:1" x14ac:dyDescent="0.25">
      <c r="A13">
        <f t="shared" ca="1" si="0"/>
        <v>5.9350359571868321</v>
      </c>
    </row>
    <row r="14" spans="1:1" x14ac:dyDescent="0.25">
      <c r="A14">
        <f t="shared" ca="1" si="0"/>
        <v>6.5358726347505343</v>
      </c>
    </row>
    <row r="15" spans="1:1" x14ac:dyDescent="0.25">
      <c r="A15">
        <f t="shared" ca="1" si="0"/>
        <v>8.1672178085202418</v>
      </c>
    </row>
    <row r="16" spans="1:1" x14ac:dyDescent="0.25">
      <c r="A16">
        <f t="shared" ca="1" si="0"/>
        <v>6.0906652731170841</v>
      </c>
    </row>
    <row r="17" spans="1:1" x14ac:dyDescent="0.25">
      <c r="A17">
        <f t="shared" ca="1" si="0"/>
        <v>7.363542193340809</v>
      </c>
    </row>
    <row r="18" spans="1:1" x14ac:dyDescent="0.25">
      <c r="A18">
        <f t="shared" ca="1" si="0"/>
        <v>6.8499359551327714</v>
      </c>
    </row>
    <row r="19" spans="1:1" x14ac:dyDescent="0.25">
      <c r="A19">
        <f t="shared" ca="1" si="0"/>
        <v>8.5140184426229446</v>
      </c>
    </row>
    <row r="20" spans="1:1" x14ac:dyDescent="0.25">
      <c r="A20">
        <f t="shared" ca="1" si="0"/>
        <v>9.9118860492999374</v>
      </c>
    </row>
    <row r="21" spans="1:1" x14ac:dyDescent="0.25">
      <c r="A21">
        <f t="shared" ca="1" si="0"/>
        <v>6.1821776248332974</v>
      </c>
    </row>
    <row r="22" spans="1:1" x14ac:dyDescent="0.25">
      <c r="A22">
        <f t="shared" ca="1" si="0"/>
        <v>9.1208354962212681</v>
      </c>
    </row>
    <row r="23" spans="1:1" x14ac:dyDescent="0.25">
      <c r="A23">
        <f t="shared" ca="1" si="0"/>
        <v>5.3861382063110703</v>
      </c>
    </row>
    <row r="24" spans="1:1" x14ac:dyDescent="0.25">
      <c r="A24">
        <f t="shared" ca="1" si="0"/>
        <v>7.5092638733630537</v>
      </c>
    </row>
    <row r="25" spans="1:1" x14ac:dyDescent="0.25">
      <c r="A25">
        <f t="shared" ca="1" si="0"/>
        <v>8.7023117175852498</v>
      </c>
    </row>
    <row r="26" spans="1:1" x14ac:dyDescent="0.25">
      <c r="A26">
        <f t="shared" ca="1" si="0"/>
        <v>7.4552954601504009</v>
      </c>
    </row>
    <row r="27" spans="1:1" x14ac:dyDescent="0.25">
      <c r="A27">
        <f t="shared" ca="1" si="0"/>
        <v>8.6222056306612682</v>
      </c>
    </row>
    <row r="28" spans="1:1" x14ac:dyDescent="0.25">
      <c r="A28">
        <f t="shared" ca="1" si="0"/>
        <v>9.287854851500601</v>
      </c>
    </row>
    <row r="29" spans="1:1" x14ac:dyDescent="0.25">
      <c r="A29">
        <f t="shared" ca="1" si="0"/>
        <v>9.1988722331771662</v>
      </c>
    </row>
    <row r="30" spans="1:1" x14ac:dyDescent="0.25">
      <c r="A30">
        <f t="shared" ca="1" si="0"/>
        <v>7.2313869995650624</v>
      </c>
    </row>
    <row r="31" spans="1:1" x14ac:dyDescent="0.25">
      <c r="A31">
        <f t="shared" ca="1" si="0"/>
        <v>5.2034317835814399</v>
      </c>
    </row>
    <row r="32" spans="1:1" x14ac:dyDescent="0.25">
      <c r="A32">
        <f t="shared" ca="1" si="0"/>
        <v>5.5961444033782639</v>
      </c>
    </row>
    <row r="33" spans="1:1" x14ac:dyDescent="0.25">
      <c r="A33">
        <f t="shared" ca="1" si="0"/>
        <v>6.8452397084647014</v>
      </c>
    </row>
    <row r="34" spans="1:1" x14ac:dyDescent="0.25">
      <c r="A34">
        <f t="shared" ca="1" si="0"/>
        <v>8.5744609913728809</v>
      </c>
    </row>
    <row r="35" spans="1:1" x14ac:dyDescent="0.25">
      <c r="A35">
        <f t="shared" ca="1" si="0"/>
        <v>5.2602105566259674</v>
      </c>
    </row>
    <row r="36" spans="1:1" x14ac:dyDescent="0.25">
      <c r="A36">
        <f t="shared" ca="1" si="0"/>
        <v>5.0424422109856089</v>
      </c>
    </row>
    <row r="37" spans="1:1" x14ac:dyDescent="0.25">
      <c r="A37">
        <f t="shared" ca="1" si="0"/>
        <v>8.9512867345243095</v>
      </c>
    </row>
    <row r="38" spans="1:1" x14ac:dyDescent="0.25">
      <c r="A38">
        <f t="shared" ca="1" si="0"/>
        <v>5.0536647336225204</v>
      </c>
    </row>
    <row r="39" spans="1:1" x14ac:dyDescent="0.25">
      <c r="A39">
        <f t="shared" ca="1" si="0"/>
        <v>8.8299010043737258</v>
      </c>
    </row>
    <row r="40" spans="1:1" x14ac:dyDescent="0.25">
      <c r="A40">
        <f t="shared" ca="1" si="0"/>
        <v>7.0924063939782034</v>
      </c>
    </row>
    <row r="41" spans="1:1" x14ac:dyDescent="0.25">
      <c r="A41">
        <f t="shared" ca="1" si="0"/>
        <v>6.5577634620802749</v>
      </c>
    </row>
    <row r="42" spans="1:1" x14ac:dyDescent="0.25">
      <c r="A42">
        <f t="shared" ca="1" si="0"/>
        <v>7.2154752339577986</v>
      </c>
    </row>
    <row r="43" spans="1:1" x14ac:dyDescent="0.25">
      <c r="A43">
        <f t="shared" ca="1" si="0"/>
        <v>6.2597374050588428</v>
      </c>
    </row>
    <row r="44" spans="1:1" x14ac:dyDescent="0.25">
      <c r="A44">
        <f t="shared" ca="1" si="0"/>
        <v>5.2923700857107008</v>
      </c>
    </row>
    <row r="45" spans="1:1" x14ac:dyDescent="0.25">
      <c r="A45">
        <f t="shared" ca="1" si="0"/>
        <v>9.684870926892355</v>
      </c>
    </row>
    <row r="46" spans="1:1" x14ac:dyDescent="0.25">
      <c r="A46">
        <f t="shared" ca="1" si="0"/>
        <v>5.3940623231010001</v>
      </c>
    </row>
    <row r="47" spans="1:1" x14ac:dyDescent="0.25">
      <c r="A47">
        <f t="shared" ca="1" si="0"/>
        <v>5.9608019682706654</v>
      </c>
    </row>
    <row r="48" spans="1:1" x14ac:dyDescent="0.25">
      <c r="A48">
        <f t="shared" ca="1" si="0"/>
        <v>7.8950887124693692</v>
      </c>
    </row>
    <row r="49" spans="1:1" x14ac:dyDescent="0.25">
      <c r="A49">
        <f t="shared" ca="1" si="0"/>
        <v>5.1392662145169883</v>
      </c>
    </row>
    <row r="50" spans="1:1" x14ac:dyDescent="0.25">
      <c r="A50">
        <f t="shared" ca="1" si="0"/>
        <v>6.5825335399351736</v>
      </c>
    </row>
    <row r="51" spans="1:1" x14ac:dyDescent="0.25">
      <c r="A51">
        <f t="shared" ca="1" si="0"/>
        <v>7.8146935283992542</v>
      </c>
    </row>
    <row r="52" spans="1:1" x14ac:dyDescent="0.25">
      <c r="A52">
        <f t="shared" ca="1" si="0"/>
        <v>9.1204219080803277</v>
      </c>
    </row>
    <row r="53" spans="1:1" x14ac:dyDescent="0.25">
      <c r="A53">
        <f t="shared" ca="1" si="0"/>
        <v>5.3551846557590634</v>
      </c>
    </row>
    <row r="54" spans="1:1" x14ac:dyDescent="0.25">
      <c r="A54">
        <f t="shared" ca="1" si="0"/>
        <v>8.8613283829455902</v>
      </c>
    </row>
    <row r="55" spans="1:1" x14ac:dyDescent="0.25">
      <c r="A55">
        <f t="shared" ca="1" si="0"/>
        <v>5.0489849711477124</v>
      </c>
    </row>
    <row r="56" spans="1:1" x14ac:dyDescent="0.25">
      <c r="A56">
        <f t="shared" ca="1" si="0"/>
        <v>8.6557517876626235</v>
      </c>
    </row>
    <row r="57" spans="1:1" x14ac:dyDescent="0.25">
      <c r="A57">
        <f t="shared" ca="1" si="0"/>
        <v>8.7072648754837019</v>
      </c>
    </row>
    <row r="58" spans="1:1" x14ac:dyDescent="0.25">
      <c r="A58">
        <f t="shared" ca="1" si="0"/>
        <v>7.1102684018994395</v>
      </c>
    </row>
    <row r="59" spans="1:1" x14ac:dyDescent="0.25">
      <c r="A59">
        <f t="shared" ca="1" si="0"/>
        <v>6.3364653851535397</v>
      </c>
    </row>
    <row r="60" spans="1:1" x14ac:dyDescent="0.25">
      <c r="A60">
        <f t="shared" ca="1" si="0"/>
        <v>7.6301846806370799</v>
      </c>
    </row>
    <row r="61" spans="1:1" x14ac:dyDescent="0.25">
      <c r="A61">
        <f t="shared" ca="1" si="0"/>
        <v>6.7384970705543576</v>
      </c>
    </row>
    <row r="62" spans="1:1" x14ac:dyDescent="0.25">
      <c r="A62">
        <f t="shared" ca="1" si="0"/>
        <v>6.1058247159147161</v>
      </c>
    </row>
    <row r="63" spans="1:1" x14ac:dyDescent="0.25">
      <c r="A63">
        <f t="shared" ca="1" si="0"/>
        <v>9.7715806597342372</v>
      </c>
    </row>
    <row r="64" spans="1:1" x14ac:dyDescent="0.25">
      <c r="A64">
        <f t="shared" ca="1" si="0"/>
        <v>7.6321853789553558</v>
      </c>
    </row>
    <row r="65" spans="1:1" x14ac:dyDescent="0.25">
      <c r="A65">
        <f t="shared" ca="1" si="0"/>
        <v>5.1698614429098599</v>
      </c>
    </row>
    <row r="66" spans="1:1" x14ac:dyDescent="0.25">
      <c r="A66">
        <f t="shared" ca="1" si="0"/>
        <v>6.8568499574250223</v>
      </c>
    </row>
    <row r="67" spans="1:1" x14ac:dyDescent="0.25">
      <c r="A67">
        <f t="shared" ref="A67:A130" ca="1" si="1">RAND() * (10 -5) +5</f>
        <v>9.8711821740037706</v>
      </c>
    </row>
    <row r="68" spans="1:1" x14ac:dyDescent="0.25">
      <c r="A68">
        <f t="shared" ca="1" si="1"/>
        <v>7.4776486577521393</v>
      </c>
    </row>
    <row r="69" spans="1:1" x14ac:dyDescent="0.25">
      <c r="A69">
        <f t="shared" ca="1" si="1"/>
        <v>6.8193362471544159</v>
      </c>
    </row>
    <row r="70" spans="1:1" x14ac:dyDescent="0.25">
      <c r="A70">
        <f t="shared" ca="1" si="1"/>
        <v>7.6400765312119523</v>
      </c>
    </row>
    <row r="71" spans="1:1" x14ac:dyDescent="0.25">
      <c r="A71">
        <f t="shared" ca="1" si="1"/>
        <v>8.3730942406401887</v>
      </c>
    </row>
    <row r="72" spans="1:1" x14ac:dyDescent="0.25">
      <c r="A72">
        <f t="shared" ca="1" si="1"/>
        <v>6.6090264043364959</v>
      </c>
    </row>
    <row r="73" spans="1:1" x14ac:dyDescent="0.25">
      <c r="A73">
        <f t="shared" ca="1" si="1"/>
        <v>9.8672151019451917</v>
      </c>
    </row>
    <row r="74" spans="1:1" x14ac:dyDescent="0.25">
      <c r="A74">
        <f t="shared" ca="1" si="1"/>
        <v>7.9702463320806469</v>
      </c>
    </row>
    <row r="75" spans="1:1" x14ac:dyDescent="0.25">
      <c r="A75">
        <f t="shared" ca="1" si="1"/>
        <v>9.8242869496894265</v>
      </c>
    </row>
    <row r="76" spans="1:1" x14ac:dyDescent="0.25">
      <c r="A76">
        <f t="shared" ca="1" si="1"/>
        <v>7.4525505927702351</v>
      </c>
    </row>
    <row r="77" spans="1:1" x14ac:dyDescent="0.25">
      <c r="A77">
        <f t="shared" ca="1" si="1"/>
        <v>6.7318599950355864</v>
      </c>
    </row>
    <row r="78" spans="1:1" x14ac:dyDescent="0.25">
      <c r="A78">
        <f t="shared" ca="1" si="1"/>
        <v>8.1343758399562294</v>
      </c>
    </row>
    <row r="79" spans="1:1" x14ac:dyDescent="0.25">
      <c r="A79">
        <f t="shared" ca="1" si="1"/>
        <v>9.0419059214850286</v>
      </c>
    </row>
    <row r="80" spans="1:1" x14ac:dyDescent="0.25">
      <c r="A80">
        <f t="shared" ca="1" si="1"/>
        <v>9.9938740975111013</v>
      </c>
    </row>
    <row r="81" spans="1:1" x14ac:dyDescent="0.25">
      <c r="A81">
        <f t="shared" ca="1" si="1"/>
        <v>8.1552608696192728</v>
      </c>
    </row>
    <row r="82" spans="1:1" x14ac:dyDescent="0.25">
      <c r="A82">
        <f t="shared" ca="1" si="1"/>
        <v>8.1539808486221617</v>
      </c>
    </row>
    <row r="83" spans="1:1" x14ac:dyDescent="0.25">
      <c r="A83">
        <f t="shared" ca="1" si="1"/>
        <v>7.7762006359829829</v>
      </c>
    </row>
    <row r="84" spans="1:1" x14ac:dyDescent="0.25">
      <c r="A84">
        <f t="shared" ca="1" si="1"/>
        <v>7.6090643981745316</v>
      </c>
    </row>
    <row r="85" spans="1:1" x14ac:dyDescent="0.25">
      <c r="A85">
        <f t="shared" ca="1" si="1"/>
        <v>9.6652927830012025</v>
      </c>
    </row>
    <row r="86" spans="1:1" x14ac:dyDescent="0.25">
      <c r="A86">
        <f t="shared" ca="1" si="1"/>
        <v>5.9895903774720853</v>
      </c>
    </row>
    <row r="87" spans="1:1" x14ac:dyDescent="0.25">
      <c r="A87">
        <f t="shared" ca="1" si="1"/>
        <v>5.5472706297177972</v>
      </c>
    </row>
    <row r="88" spans="1:1" x14ac:dyDescent="0.25">
      <c r="A88">
        <f t="shared" ca="1" si="1"/>
        <v>6.1348971535026475</v>
      </c>
    </row>
    <row r="89" spans="1:1" x14ac:dyDescent="0.25">
      <c r="A89">
        <f t="shared" ca="1" si="1"/>
        <v>8.1114837849667332</v>
      </c>
    </row>
    <row r="90" spans="1:1" x14ac:dyDescent="0.25">
      <c r="A90">
        <f t="shared" ca="1" si="1"/>
        <v>8.0123620060570637</v>
      </c>
    </row>
    <row r="91" spans="1:1" x14ac:dyDescent="0.25">
      <c r="A91">
        <f t="shared" ca="1" si="1"/>
        <v>8.2080623818744964</v>
      </c>
    </row>
    <row r="92" spans="1:1" x14ac:dyDescent="0.25">
      <c r="A92">
        <f t="shared" ca="1" si="1"/>
        <v>9.8196369342352749</v>
      </c>
    </row>
    <row r="93" spans="1:1" x14ac:dyDescent="0.25">
      <c r="A93">
        <f t="shared" ca="1" si="1"/>
        <v>8.0018927214048716</v>
      </c>
    </row>
    <row r="94" spans="1:1" x14ac:dyDescent="0.25">
      <c r="A94">
        <f t="shared" ca="1" si="1"/>
        <v>5.254288397004955</v>
      </c>
    </row>
    <row r="95" spans="1:1" x14ac:dyDescent="0.25">
      <c r="A95">
        <f t="shared" ca="1" si="1"/>
        <v>8.6801654408367686</v>
      </c>
    </row>
    <row r="96" spans="1:1" x14ac:dyDescent="0.25">
      <c r="A96">
        <f t="shared" ca="1" si="1"/>
        <v>9.2015450297790906</v>
      </c>
    </row>
    <row r="97" spans="1:1" x14ac:dyDescent="0.25">
      <c r="A97">
        <f t="shared" ca="1" si="1"/>
        <v>6.5646810742104744</v>
      </c>
    </row>
    <row r="98" spans="1:1" x14ac:dyDescent="0.25">
      <c r="A98">
        <f t="shared" ca="1" si="1"/>
        <v>8.9740680549274732</v>
      </c>
    </row>
    <row r="99" spans="1:1" x14ac:dyDescent="0.25">
      <c r="A99">
        <f t="shared" ca="1" si="1"/>
        <v>8.4524276068022353</v>
      </c>
    </row>
    <row r="100" spans="1:1" x14ac:dyDescent="0.25">
      <c r="A100">
        <f t="shared" ca="1" si="1"/>
        <v>7.5285657376664821</v>
      </c>
    </row>
    <row r="101" spans="1:1" x14ac:dyDescent="0.25">
      <c r="A101">
        <f t="shared" ca="1" si="1"/>
        <v>8.6490374651516877</v>
      </c>
    </row>
    <row r="102" spans="1:1" x14ac:dyDescent="0.25">
      <c r="A102">
        <f t="shared" ca="1" si="1"/>
        <v>8.6778025827130634</v>
      </c>
    </row>
    <row r="103" spans="1:1" x14ac:dyDescent="0.25">
      <c r="A103">
        <f t="shared" ca="1" si="1"/>
        <v>9.4544529942607713</v>
      </c>
    </row>
    <row r="104" spans="1:1" x14ac:dyDescent="0.25">
      <c r="A104">
        <f t="shared" ca="1" si="1"/>
        <v>8.6087206104734868</v>
      </c>
    </row>
    <row r="105" spans="1:1" x14ac:dyDescent="0.25">
      <c r="A105">
        <f t="shared" ca="1" si="1"/>
        <v>5.6369173778996515</v>
      </c>
    </row>
    <row r="106" spans="1:1" x14ac:dyDescent="0.25">
      <c r="A106">
        <f t="shared" ca="1" si="1"/>
        <v>6.306597068603347</v>
      </c>
    </row>
    <row r="107" spans="1:1" x14ac:dyDescent="0.25">
      <c r="A107">
        <f t="shared" ca="1" si="1"/>
        <v>8.2228158923834798</v>
      </c>
    </row>
    <row r="108" spans="1:1" x14ac:dyDescent="0.25">
      <c r="A108">
        <f t="shared" ca="1" si="1"/>
        <v>5.6365024106472559</v>
      </c>
    </row>
    <row r="109" spans="1:1" x14ac:dyDescent="0.25">
      <c r="A109">
        <f t="shared" ca="1" si="1"/>
        <v>7.6495170386802194</v>
      </c>
    </row>
    <row r="110" spans="1:1" x14ac:dyDescent="0.25">
      <c r="A110">
        <f t="shared" ca="1" si="1"/>
        <v>9.6872265259563424</v>
      </c>
    </row>
    <row r="111" spans="1:1" x14ac:dyDescent="0.25">
      <c r="A111">
        <f t="shared" ca="1" si="1"/>
        <v>8.2635560078287682</v>
      </c>
    </row>
    <row r="112" spans="1:1" x14ac:dyDescent="0.25">
      <c r="A112">
        <f t="shared" ca="1" si="1"/>
        <v>8.7809078973335879</v>
      </c>
    </row>
    <row r="113" spans="1:1" x14ac:dyDescent="0.25">
      <c r="A113">
        <f t="shared" ca="1" si="1"/>
        <v>5.6708750781655368</v>
      </c>
    </row>
    <row r="114" spans="1:1" x14ac:dyDescent="0.25">
      <c r="A114">
        <f t="shared" ca="1" si="1"/>
        <v>5.8745187817503943</v>
      </c>
    </row>
    <row r="115" spans="1:1" x14ac:dyDescent="0.25">
      <c r="A115">
        <f t="shared" ca="1" si="1"/>
        <v>5.0583662221793331</v>
      </c>
    </row>
    <row r="116" spans="1:1" x14ac:dyDescent="0.25">
      <c r="A116">
        <f t="shared" ca="1" si="1"/>
        <v>7.0005825600933065</v>
      </c>
    </row>
    <row r="117" spans="1:1" x14ac:dyDescent="0.25">
      <c r="A117">
        <f t="shared" ca="1" si="1"/>
        <v>6.6549535987879889</v>
      </c>
    </row>
    <row r="118" spans="1:1" x14ac:dyDescent="0.25">
      <c r="A118">
        <f t="shared" ca="1" si="1"/>
        <v>6.1920149362720789</v>
      </c>
    </row>
    <row r="119" spans="1:1" x14ac:dyDescent="0.25">
      <c r="A119">
        <f t="shared" ca="1" si="1"/>
        <v>7.3178655751711759</v>
      </c>
    </row>
    <row r="120" spans="1:1" x14ac:dyDescent="0.25">
      <c r="A120">
        <f t="shared" ca="1" si="1"/>
        <v>9.8755876957903315</v>
      </c>
    </row>
    <row r="121" spans="1:1" x14ac:dyDescent="0.25">
      <c r="A121">
        <f t="shared" ca="1" si="1"/>
        <v>6.8797011969238211</v>
      </c>
    </row>
    <row r="122" spans="1:1" x14ac:dyDescent="0.25">
      <c r="A122">
        <f t="shared" ca="1" si="1"/>
        <v>5.7147332996909563</v>
      </c>
    </row>
    <row r="123" spans="1:1" x14ac:dyDescent="0.25">
      <c r="A123">
        <f t="shared" ca="1" si="1"/>
        <v>8.1942097704723658</v>
      </c>
    </row>
    <row r="124" spans="1:1" x14ac:dyDescent="0.25">
      <c r="A124">
        <f t="shared" ca="1" si="1"/>
        <v>5.5024712687121839</v>
      </c>
    </row>
    <row r="125" spans="1:1" x14ac:dyDescent="0.25">
      <c r="A125">
        <f t="shared" ca="1" si="1"/>
        <v>9.4911860014346789</v>
      </c>
    </row>
    <row r="126" spans="1:1" x14ac:dyDescent="0.25">
      <c r="A126">
        <f t="shared" ca="1" si="1"/>
        <v>9.1925933528304604</v>
      </c>
    </row>
    <row r="127" spans="1:1" x14ac:dyDescent="0.25">
      <c r="A127">
        <f t="shared" ca="1" si="1"/>
        <v>6.7517463809231044</v>
      </c>
    </row>
    <row r="128" spans="1:1" x14ac:dyDescent="0.25">
      <c r="A128">
        <f t="shared" ca="1" si="1"/>
        <v>6.1077330687002878</v>
      </c>
    </row>
    <row r="129" spans="1:1" x14ac:dyDescent="0.25">
      <c r="A129">
        <f t="shared" ca="1" si="1"/>
        <v>5.1954249396106214</v>
      </c>
    </row>
    <row r="130" spans="1:1" x14ac:dyDescent="0.25">
      <c r="A130">
        <f t="shared" ca="1" si="1"/>
        <v>9.3414697726143263</v>
      </c>
    </row>
    <row r="131" spans="1:1" x14ac:dyDescent="0.25">
      <c r="A131">
        <f t="shared" ref="A131:A194" ca="1" si="2">RAND() * (10 -5) +5</f>
        <v>5.2526409638546614</v>
      </c>
    </row>
    <row r="132" spans="1:1" x14ac:dyDescent="0.25">
      <c r="A132">
        <f t="shared" ca="1" si="2"/>
        <v>9.1605493155356701</v>
      </c>
    </row>
    <row r="133" spans="1:1" x14ac:dyDescent="0.25">
      <c r="A133">
        <f t="shared" ca="1" si="2"/>
        <v>8.5224163286146712</v>
      </c>
    </row>
    <row r="134" spans="1:1" x14ac:dyDescent="0.25">
      <c r="A134">
        <f t="shared" ca="1" si="2"/>
        <v>6.6521987521198458</v>
      </c>
    </row>
    <row r="135" spans="1:1" x14ac:dyDescent="0.25">
      <c r="A135">
        <f t="shared" ca="1" si="2"/>
        <v>5.1687466098361892</v>
      </c>
    </row>
    <row r="136" spans="1:1" x14ac:dyDescent="0.25">
      <c r="A136">
        <f t="shared" ca="1" si="2"/>
        <v>6.62662133355043</v>
      </c>
    </row>
    <row r="137" spans="1:1" x14ac:dyDescent="0.25">
      <c r="A137">
        <f t="shared" ca="1" si="2"/>
        <v>9.353992584414538</v>
      </c>
    </row>
    <row r="138" spans="1:1" x14ac:dyDescent="0.25">
      <c r="A138">
        <f t="shared" ca="1" si="2"/>
        <v>7.6039869107004172</v>
      </c>
    </row>
    <row r="139" spans="1:1" x14ac:dyDescent="0.25">
      <c r="A139">
        <f t="shared" ca="1" si="2"/>
        <v>5.5177533437186783</v>
      </c>
    </row>
    <row r="140" spans="1:1" x14ac:dyDescent="0.25">
      <c r="A140">
        <f t="shared" ca="1" si="2"/>
        <v>7.6842357972613478</v>
      </c>
    </row>
    <row r="141" spans="1:1" x14ac:dyDescent="0.25">
      <c r="A141">
        <f t="shared" ca="1" si="2"/>
        <v>5.3853172401578995</v>
      </c>
    </row>
    <row r="142" spans="1:1" x14ac:dyDescent="0.25">
      <c r="A142">
        <f t="shared" ca="1" si="2"/>
        <v>7.8845444674277188</v>
      </c>
    </row>
    <row r="143" spans="1:1" x14ac:dyDescent="0.25">
      <c r="A143">
        <f t="shared" ca="1" si="2"/>
        <v>8.9922718260788272</v>
      </c>
    </row>
    <row r="144" spans="1:1" x14ac:dyDescent="0.25">
      <c r="A144">
        <f t="shared" ca="1" si="2"/>
        <v>5.9021894539471047</v>
      </c>
    </row>
    <row r="145" spans="1:1" x14ac:dyDescent="0.25">
      <c r="A145">
        <f t="shared" ca="1" si="2"/>
        <v>7.8259916930367321</v>
      </c>
    </row>
    <row r="146" spans="1:1" x14ac:dyDescent="0.25">
      <c r="A146">
        <f t="shared" ca="1" si="2"/>
        <v>8.5919780756604016</v>
      </c>
    </row>
    <row r="147" spans="1:1" x14ac:dyDescent="0.25">
      <c r="A147">
        <f t="shared" ca="1" si="2"/>
        <v>6.5572358444653664</v>
      </c>
    </row>
    <row r="148" spans="1:1" x14ac:dyDescent="0.25">
      <c r="A148">
        <f t="shared" ca="1" si="2"/>
        <v>5.7839125387001831</v>
      </c>
    </row>
    <row r="149" spans="1:1" x14ac:dyDescent="0.25">
      <c r="A149">
        <f t="shared" ca="1" si="2"/>
        <v>5.0025811337754149</v>
      </c>
    </row>
    <row r="150" spans="1:1" x14ac:dyDescent="0.25">
      <c r="A150">
        <f t="shared" ca="1" si="2"/>
        <v>7.6947915827885485</v>
      </c>
    </row>
    <row r="151" spans="1:1" x14ac:dyDescent="0.25">
      <c r="A151">
        <f t="shared" ca="1" si="2"/>
        <v>9.7258892576271112</v>
      </c>
    </row>
    <row r="152" spans="1:1" x14ac:dyDescent="0.25">
      <c r="A152">
        <f t="shared" ca="1" si="2"/>
        <v>5.3307368024172215</v>
      </c>
    </row>
    <row r="153" spans="1:1" x14ac:dyDescent="0.25">
      <c r="A153">
        <f t="shared" ca="1" si="2"/>
        <v>7.9277740079628281</v>
      </c>
    </row>
    <row r="154" spans="1:1" x14ac:dyDescent="0.25">
      <c r="A154">
        <f t="shared" ca="1" si="2"/>
        <v>5.8080081137059505</v>
      </c>
    </row>
    <row r="155" spans="1:1" x14ac:dyDescent="0.25">
      <c r="A155">
        <f t="shared" ca="1" si="2"/>
        <v>6.3489961124055316</v>
      </c>
    </row>
    <row r="156" spans="1:1" x14ac:dyDescent="0.25">
      <c r="A156">
        <f t="shared" ca="1" si="2"/>
        <v>6.3073613898898007</v>
      </c>
    </row>
    <row r="157" spans="1:1" x14ac:dyDescent="0.25">
      <c r="A157">
        <f t="shared" ca="1" si="2"/>
        <v>8.4086185464706453</v>
      </c>
    </row>
    <row r="158" spans="1:1" x14ac:dyDescent="0.25">
      <c r="A158">
        <f t="shared" ca="1" si="2"/>
        <v>5.1059775104070022</v>
      </c>
    </row>
    <row r="159" spans="1:1" x14ac:dyDescent="0.25">
      <c r="A159">
        <f t="shared" ca="1" si="2"/>
        <v>7.854555945675143</v>
      </c>
    </row>
    <row r="160" spans="1:1" x14ac:dyDescent="0.25">
      <c r="A160">
        <f t="shared" ca="1" si="2"/>
        <v>5.8788025978951746</v>
      </c>
    </row>
    <row r="161" spans="1:1" x14ac:dyDescent="0.25">
      <c r="A161">
        <f t="shared" ca="1" si="2"/>
        <v>9.0216872435711633</v>
      </c>
    </row>
    <row r="162" spans="1:1" x14ac:dyDescent="0.25">
      <c r="A162">
        <f t="shared" ca="1" si="2"/>
        <v>8.1267865246936601</v>
      </c>
    </row>
    <row r="163" spans="1:1" x14ac:dyDescent="0.25">
      <c r="A163">
        <f t="shared" ca="1" si="2"/>
        <v>6.5330208450596174</v>
      </c>
    </row>
    <row r="164" spans="1:1" x14ac:dyDescent="0.25">
      <c r="A164">
        <f t="shared" ca="1" si="2"/>
        <v>7.0067705471316772</v>
      </c>
    </row>
    <row r="165" spans="1:1" x14ac:dyDescent="0.25">
      <c r="A165">
        <f t="shared" ca="1" si="2"/>
        <v>8.3285961685450118</v>
      </c>
    </row>
    <row r="166" spans="1:1" x14ac:dyDescent="0.25">
      <c r="A166">
        <f t="shared" ca="1" si="2"/>
        <v>8.5733421751395671</v>
      </c>
    </row>
    <row r="167" spans="1:1" x14ac:dyDescent="0.25">
      <c r="A167">
        <f t="shared" ca="1" si="2"/>
        <v>6.1422160075422454</v>
      </c>
    </row>
    <row r="168" spans="1:1" x14ac:dyDescent="0.25">
      <c r="A168">
        <f t="shared" ca="1" si="2"/>
        <v>6.4018625601467907</v>
      </c>
    </row>
    <row r="169" spans="1:1" x14ac:dyDescent="0.25">
      <c r="A169">
        <f t="shared" ca="1" si="2"/>
        <v>5.0751186597763418</v>
      </c>
    </row>
    <row r="170" spans="1:1" x14ac:dyDescent="0.25">
      <c r="A170">
        <f t="shared" ca="1" si="2"/>
        <v>5.6201466884342146</v>
      </c>
    </row>
    <row r="171" spans="1:1" x14ac:dyDescent="0.25">
      <c r="A171">
        <f t="shared" ca="1" si="2"/>
        <v>5.6956311379193023</v>
      </c>
    </row>
    <row r="172" spans="1:1" x14ac:dyDescent="0.25">
      <c r="A172">
        <f t="shared" ca="1" si="2"/>
        <v>6.6967263800106132</v>
      </c>
    </row>
    <row r="173" spans="1:1" x14ac:dyDescent="0.25">
      <c r="A173">
        <f t="shared" ca="1" si="2"/>
        <v>6.8672387113515043</v>
      </c>
    </row>
    <row r="174" spans="1:1" x14ac:dyDescent="0.25">
      <c r="A174">
        <f t="shared" ca="1" si="2"/>
        <v>5.806261917800855</v>
      </c>
    </row>
    <row r="175" spans="1:1" x14ac:dyDescent="0.25">
      <c r="A175">
        <f t="shared" ca="1" si="2"/>
        <v>7.1979593834723179</v>
      </c>
    </row>
    <row r="176" spans="1:1" x14ac:dyDescent="0.25">
      <c r="A176">
        <f t="shared" ca="1" si="2"/>
        <v>7.7091076604780246</v>
      </c>
    </row>
    <row r="177" spans="1:1" x14ac:dyDescent="0.25">
      <c r="A177">
        <f t="shared" ca="1" si="2"/>
        <v>8.7751694144521615</v>
      </c>
    </row>
    <row r="178" spans="1:1" x14ac:dyDescent="0.25">
      <c r="A178">
        <f t="shared" ca="1" si="2"/>
        <v>6.97719753562001</v>
      </c>
    </row>
    <row r="179" spans="1:1" x14ac:dyDescent="0.25">
      <c r="A179">
        <f t="shared" ca="1" si="2"/>
        <v>6.6307920193860195</v>
      </c>
    </row>
    <row r="180" spans="1:1" x14ac:dyDescent="0.25">
      <c r="A180">
        <f t="shared" ca="1" si="2"/>
        <v>9.8281142607866219</v>
      </c>
    </row>
    <row r="181" spans="1:1" x14ac:dyDescent="0.25">
      <c r="A181">
        <f t="shared" ca="1" si="2"/>
        <v>5.6302158870255683</v>
      </c>
    </row>
    <row r="182" spans="1:1" x14ac:dyDescent="0.25">
      <c r="A182">
        <f t="shared" ca="1" si="2"/>
        <v>6.6216702092202198</v>
      </c>
    </row>
    <row r="183" spans="1:1" x14ac:dyDescent="0.25">
      <c r="A183">
        <f t="shared" ca="1" si="2"/>
        <v>6.0420365437977388</v>
      </c>
    </row>
    <row r="184" spans="1:1" x14ac:dyDescent="0.25">
      <c r="A184">
        <f t="shared" ca="1" si="2"/>
        <v>7.9463930844454449</v>
      </c>
    </row>
    <row r="185" spans="1:1" x14ac:dyDescent="0.25">
      <c r="A185">
        <f t="shared" ca="1" si="2"/>
        <v>8.1142209776910832</v>
      </c>
    </row>
    <row r="186" spans="1:1" x14ac:dyDescent="0.25">
      <c r="A186">
        <f t="shared" ca="1" si="2"/>
        <v>7.56482227910932</v>
      </c>
    </row>
    <row r="187" spans="1:1" x14ac:dyDescent="0.25">
      <c r="A187">
        <f t="shared" ca="1" si="2"/>
        <v>9.6107877630273748</v>
      </c>
    </row>
    <row r="188" spans="1:1" x14ac:dyDescent="0.25">
      <c r="A188">
        <f t="shared" ca="1" si="2"/>
        <v>9.2422259251757986</v>
      </c>
    </row>
    <row r="189" spans="1:1" x14ac:dyDescent="0.25">
      <c r="A189">
        <f t="shared" ca="1" si="2"/>
        <v>5.3286054441193151</v>
      </c>
    </row>
    <row r="190" spans="1:1" x14ac:dyDescent="0.25">
      <c r="A190">
        <f t="shared" ca="1" si="2"/>
        <v>8.2594374872540328</v>
      </c>
    </row>
    <row r="191" spans="1:1" x14ac:dyDescent="0.25">
      <c r="A191">
        <f t="shared" ca="1" si="2"/>
        <v>9.3786313998508106</v>
      </c>
    </row>
    <row r="192" spans="1:1" x14ac:dyDescent="0.25">
      <c r="A192">
        <f t="shared" ca="1" si="2"/>
        <v>7.7279208178418202</v>
      </c>
    </row>
    <row r="193" spans="1:1" x14ac:dyDescent="0.25">
      <c r="A193">
        <f t="shared" ca="1" si="2"/>
        <v>9.7609613786232323</v>
      </c>
    </row>
    <row r="194" spans="1:1" x14ac:dyDescent="0.25">
      <c r="A194">
        <f t="shared" ca="1" si="2"/>
        <v>5.3176804269420765</v>
      </c>
    </row>
    <row r="195" spans="1:1" x14ac:dyDescent="0.25">
      <c r="A195">
        <f t="shared" ref="A195:A201" ca="1" si="3">RAND() * (10 -5) +5</f>
        <v>8.5881373255159783</v>
      </c>
    </row>
    <row r="196" spans="1:1" x14ac:dyDescent="0.25">
      <c r="A196">
        <f t="shared" ca="1" si="3"/>
        <v>9.3031806810858768</v>
      </c>
    </row>
    <row r="197" spans="1:1" x14ac:dyDescent="0.25">
      <c r="A197">
        <f t="shared" ca="1" si="3"/>
        <v>8.9677806809150393</v>
      </c>
    </row>
    <row r="198" spans="1:1" x14ac:dyDescent="0.25">
      <c r="A198">
        <f t="shared" ca="1" si="3"/>
        <v>5.3720133582937288</v>
      </c>
    </row>
    <row r="199" spans="1:1" x14ac:dyDescent="0.25">
      <c r="A199">
        <f t="shared" ca="1" si="3"/>
        <v>5.0432752947212141</v>
      </c>
    </row>
    <row r="200" spans="1:1" x14ac:dyDescent="0.25">
      <c r="A200">
        <f t="shared" ca="1" si="3"/>
        <v>7.6327754059738186</v>
      </c>
    </row>
    <row r="201" spans="1:1" x14ac:dyDescent="0.25">
      <c r="A201">
        <f t="shared" ca="1" si="3"/>
        <v>6.9768537442542335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7BAC-DEC8-4029-BB3B-1274F1576B7D}">
  <dimension ref="A1:F201"/>
  <sheetViews>
    <sheetView workbookViewId="0">
      <selection activeCell="F1" sqref="F1:F201"/>
    </sheetView>
  </sheetViews>
  <sheetFormatPr defaultRowHeight="15" x14ac:dyDescent="0.25"/>
  <cols>
    <col min="3" max="3" width="9.140625" style="4"/>
  </cols>
  <sheetData>
    <row r="1" spans="1:6" x14ac:dyDescent="0.25">
      <c r="A1">
        <v>16496</v>
      </c>
      <c r="B1">
        <v>9350</v>
      </c>
      <c r="C1" s="4">
        <v>9.3399954197058772</v>
      </c>
      <c r="D1">
        <v>85.834687687271213</v>
      </c>
      <c r="E1">
        <v>5368</v>
      </c>
      <c r="F1">
        <v>2274</v>
      </c>
    </row>
    <row r="2" spans="1:6" x14ac:dyDescent="0.25">
      <c r="A2">
        <v>19180</v>
      </c>
      <c r="B2">
        <v>16412</v>
      </c>
      <c r="C2" s="4">
        <v>6.8324628221848762</v>
      </c>
      <c r="D2">
        <v>92.81730824549733</v>
      </c>
      <c r="E2">
        <v>5230</v>
      </c>
      <c r="F2">
        <v>6456</v>
      </c>
    </row>
    <row r="3" spans="1:6" x14ac:dyDescent="0.25">
      <c r="A3">
        <v>8037</v>
      </c>
      <c r="B3">
        <v>15070</v>
      </c>
      <c r="C3" s="4">
        <v>9.6252107992675597</v>
      </c>
      <c r="D3">
        <v>98.684700998837116</v>
      </c>
      <c r="E3">
        <v>5318</v>
      </c>
      <c r="F3">
        <v>4677</v>
      </c>
    </row>
    <row r="4" spans="1:6" x14ac:dyDescent="0.25">
      <c r="A4">
        <v>17312</v>
      </c>
      <c r="B4">
        <v>11398</v>
      </c>
      <c r="C4" s="4">
        <v>9.3228320243490668</v>
      </c>
      <c r="D4">
        <v>95.783922595706898</v>
      </c>
      <c r="E4">
        <v>5587</v>
      </c>
      <c r="F4">
        <v>1911</v>
      </c>
    </row>
    <row r="5" spans="1:6" x14ac:dyDescent="0.25">
      <c r="A5">
        <v>14722</v>
      </c>
      <c r="B5">
        <v>15692</v>
      </c>
      <c r="C5" s="4">
        <v>8.355736065528216</v>
      </c>
      <c r="D5">
        <v>94.636426011693203</v>
      </c>
      <c r="E5">
        <v>5221</v>
      </c>
      <c r="F5">
        <v>2221</v>
      </c>
    </row>
    <row r="6" spans="1:6" x14ac:dyDescent="0.25">
      <c r="A6">
        <v>9537</v>
      </c>
      <c r="B6">
        <v>6109</v>
      </c>
      <c r="C6" s="4">
        <v>6.7838886830704492</v>
      </c>
      <c r="D6">
        <v>90.250711779128693</v>
      </c>
      <c r="E6">
        <v>5815</v>
      </c>
      <c r="F6">
        <v>5412</v>
      </c>
    </row>
    <row r="7" spans="1:6" x14ac:dyDescent="0.25">
      <c r="A7">
        <v>16695</v>
      </c>
      <c r="B7">
        <v>14577</v>
      </c>
      <c r="C7" s="4">
        <v>9.458542746560747</v>
      </c>
      <c r="D7">
        <v>87.490909672885664</v>
      </c>
      <c r="E7">
        <v>5760</v>
      </c>
      <c r="F7">
        <v>5195</v>
      </c>
    </row>
    <row r="8" spans="1:6" x14ac:dyDescent="0.25">
      <c r="A8">
        <v>18069</v>
      </c>
      <c r="B8">
        <v>13703</v>
      </c>
      <c r="C8" s="4">
        <v>8.5996484252973389</v>
      </c>
      <c r="D8">
        <v>87.303780919540287</v>
      </c>
      <c r="E8">
        <v>5273</v>
      </c>
      <c r="F8">
        <v>7995</v>
      </c>
    </row>
    <row r="9" spans="1:6" x14ac:dyDescent="0.25">
      <c r="A9">
        <v>6711</v>
      </c>
      <c r="B9">
        <v>10101</v>
      </c>
      <c r="C9" s="4">
        <v>7.6709969433745915</v>
      </c>
      <c r="D9">
        <v>90.589090417999245</v>
      </c>
      <c r="E9">
        <v>5860</v>
      </c>
      <c r="F9">
        <v>5407</v>
      </c>
    </row>
    <row r="10" spans="1:6" x14ac:dyDescent="0.25">
      <c r="A10">
        <v>14207</v>
      </c>
      <c r="B10">
        <v>10550</v>
      </c>
      <c r="C10" s="4">
        <v>7.9383886500798919</v>
      </c>
      <c r="D10">
        <v>92.007353103376047</v>
      </c>
      <c r="E10">
        <v>5190</v>
      </c>
      <c r="F10">
        <v>3892</v>
      </c>
    </row>
    <row r="11" spans="1:6" x14ac:dyDescent="0.25">
      <c r="A11">
        <v>7371</v>
      </c>
      <c r="B11">
        <v>15295</v>
      </c>
      <c r="C11" s="4">
        <v>8.2036013828285341</v>
      </c>
      <c r="D11">
        <v>91.912077268510657</v>
      </c>
      <c r="E11">
        <v>5700</v>
      </c>
      <c r="F11">
        <v>1743</v>
      </c>
    </row>
    <row r="12" spans="1:6" x14ac:dyDescent="0.25">
      <c r="A12">
        <v>9556</v>
      </c>
      <c r="B12">
        <v>8177</v>
      </c>
      <c r="C12" s="4">
        <v>6.8865263364487319</v>
      </c>
      <c r="D12">
        <v>95.959576388384889</v>
      </c>
      <c r="E12">
        <v>5903</v>
      </c>
      <c r="F12">
        <v>5550</v>
      </c>
    </row>
    <row r="13" spans="1:6" x14ac:dyDescent="0.25">
      <c r="A13">
        <v>15733</v>
      </c>
      <c r="B13">
        <v>10897</v>
      </c>
      <c r="C13" s="4">
        <v>6.0499296057105765</v>
      </c>
      <c r="D13">
        <v>98.822030529018733</v>
      </c>
      <c r="E13">
        <v>5431</v>
      </c>
      <c r="F13">
        <v>8261</v>
      </c>
    </row>
    <row r="14" spans="1:6" x14ac:dyDescent="0.25">
      <c r="A14">
        <v>17370</v>
      </c>
      <c r="B14">
        <v>7717</v>
      </c>
      <c r="C14" s="4">
        <v>8.5932712740662023</v>
      </c>
      <c r="D14">
        <v>86.02901559956382</v>
      </c>
      <c r="E14">
        <v>5015</v>
      </c>
      <c r="F14">
        <v>8175</v>
      </c>
    </row>
    <row r="15" spans="1:6" x14ac:dyDescent="0.25">
      <c r="A15">
        <v>8687</v>
      </c>
      <c r="B15">
        <v>8436</v>
      </c>
      <c r="C15" s="4">
        <v>9.3025335360348134</v>
      </c>
      <c r="D15">
        <v>97.671173562060503</v>
      </c>
      <c r="E15">
        <v>5420</v>
      </c>
      <c r="F15">
        <v>7400</v>
      </c>
    </row>
    <row r="16" spans="1:6" x14ac:dyDescent="0.25">
      <c r="A16">
        <v>17748</v>
      </c>
      <c r="B16">
        <v>16474</v>
      </c>
      <c r="C16" s="4">
        <v>8.7814334204654845</v>
      </c>
      <c r="D16">
        <v>88.892195273319871</v>
      </c>
      <c r="E16">
        <v>5530</v>
      </c>
      <c r="F16">
        <v>7256</v>
      </c>
    </row>
    <row r="17" spans="1:6" x14ac:dyDescent="0.25">
      <c r="A17">
        <v>7077</v>
      </c>
      <c r="B17">
        <v>17868</v>
      </c>
      <c r="C17" s="4">
        <v>7.3989572971574606</v>
      </c>
      <c r="D17">
        <v>82.015166855032817</v>
      </c>
      <c r="E17">
        <v>5737</v>
      </c>
      <c r="F17">
        <v>5394</v>
      </c>
    </row>
    <row r="18" spans="1:6" x14ac:dyDescent="0.25">
      <c r="A18">
        <v>8522</v>
      </c>
      <c r="B18">
        <v>11964</v>
      </c>
      <c r="C18" s="4">
        <v>7.033037512239364</v>
      </c>
      <c r="D18">
        <v>81.205028012734616</v>
      </c>
      <c r="E18">
        <v>5456</v>
      </c>
      <c r="F18">
        <v>1573</v>
      </c>
    </row>
    <row r="19" spans="1:6" x14ac:dyDescent="0.25">
      <c r="A19">
        <v>5081</v>
      </c>
      <c r="B19">
        <v>5259</v>
      </c>
      <c r="C19" s="4">
        <v>9.8170390173647455</v>
      </c>
      <c r="D19">
        <v>97.406646375888272</v>
      </c>
      <c r="E19">
        <v>5336</v>
      </c>
      <c r="F19">
        <v>4374</v>
      </c>
    </row>
    <row r="20" spans="1:6" x14ac:dyDescent="0.25">
      <c r="A20">
        <v>15289</v>
      </c>
      <c r="B20">
        <v>15696</v>
      </c>
      <c r="C20" s="4">
        <v>7.6499696012193681</v>
      </c>
      <c r="D20">
        <v>81.159516638527535</v>
      </c>
      <c r="E20">
        <v>5146</v>
      </c>
      <c r="F20">
        <v>1639</v>
      </c>
    </row>
    <row r="21" spans="1:6" x14ac:dyDescent="0.25">
      <c r="A21">
        <v>16098</v>
      </c>
      <c r="B21">
        <v>5464</v>
      </c>
      <c r="C21" s="4">
        <v>7.5154100777391921</v>
      </c>
      <c r="D21">
        <v>82.446699724645512</v>
      </c>
      <c r="E21">
        <v>5025</v>
      </c>
      <c r="F21">
        <v>9637</v>
      </c>
    </row>
    <row r="22" spans="1:6" x14ac:dyDescent="0.25">
      <c r="A22">
        <v>16811</v>
      </c>
      <c r="B22">
        <v>5122</v>
      </c>
      <c r="C22" s="4">
        <v>6.6048794433961033</v>
      </c>
      <c r="D22">
        <v>98.333246132280209</v>
      </c>
      <c r="E22">
        <v>5027</v>
      </c>
      <c r="F22">
        <v>5440</v>
      </c>
    </row>
    <row r="23" spans="1:6" x14ac:dyDescent="0.25">
      <c r="A23">
        <v>6325</v>
      </c>
      <c r="B23">
        <v>10647</v>
      </c>
      <c r="C23" s="4">
        <v>8.031336359359198</v>
      </c>
      <c r="D23">
        <v>91.810125308649376</v>
      </c>
      <c r="E23">
        <v>5496</v>
      </c>
      <c r="F23">
        <v>1632</v>
      </c>
    </row>
    <row r="24" spans="1:6" x14ac:dyDescent="0.25">
      <c r="A24">
        <v>7907</v>
      </c>
      <c r="B24">
        <v>11082</v>
      </c>
      <c r="C24" s="4">
        <v>9.8881397703228444</v>
      </c>
      <c r="D24">
        <v>89.851123435101329</v>
      </c>
      <c r="E24">
        <v>5268</v>
      </c>
      <c r="F24">
        <v>3697</v>
      </c>
    </row>
    <row r="25" spans="1:6" x14ac:dyDescent="0.25">
      <c r="A25">
        <v>9674</v>
      </c>
      <c r="B25">
        <v>8725</v>
      </c>
      <c r="C25" s="4">
        <v>6.2083754165381713</v>
      </c>
      <c r="D25">
        <v>80.16642767766082</v>
      </c>
      <c r="E25">
        <v>5368</v>
      </c>
      <c r="F25">
        <v>6829</v>
      </c>
    </row>
    <row r="26" spans="1:6" x14ac:dyDescent="0.25">
      <c r="A26">
        <v>18986</v>
      </c>
      <c r="B26">
        <v>13532</v>
      </c>
      <c r="C26" s="4">
        <v>9.7532323905360983</v>
      </c>
      <c r="D26">
        <v>84.048875497923348</v>
      </c>
      <c r="E26">
        <v>5123</v>
      </c>
      <c r="F26">
        <v>1697</v>
      </c>
    </row>
    <row r="27" spans="1:6" x14ac:dyDescent="0.25">
      <c r="A27">
        <v>15872</v>
      </c>
      <c r="B27">
        <v>4189</v>
      </c>
      <c r="C27" s="4">
        <v>8.2407915049457898</v>
      </c>
      <c r="D27">
        <v>92.056341644089329</v>
      </c>
      <c r="E27">
        <v>5373</v>
      </c>
      <c r="F27">
        <v>9981</v>
      </c>
    </row>
    <row r="28" spans="1:6" x14ac:dyDescent="0.25">
      <c r="A28">
        <v>6675</v>
      </c>
      <c r="B28">
        <v>6724</v>
      </c>
      <c r="C28" s="4">
        <v>8.366363358730883</v>
      </c>
      <c r="D28">
        <v>80.712086285675753</v>
      </c>
      <c r="E28">
        <v>5433</v>
      </c>
      <c r="F28">
        <v>8196</v>
      </c>
    </row>
    <row r="29" spans="1:6" x14ac:dyDescent="0.25">
      <c r="A29">
        <v>17041</v>
      </c>
      <c r="B29">
        <v>15389</v>
      </c>
      <c r="C29" s="4">
        <v>8.0547850907085863</v>
      </c>
      <c r="D29">
        <v>84.937639461984659</v>
      </c>
      <c r="E29">
        <v>5612</v>
      </c>
      <c r="F29">
        <v>4029</v>
      </c>
    </row>
    <row r="30" spans="1:6" x14ac:dyDescent="0.25">
      <c r="A30">
        <v>14329</v>
      </c>
      <c r="B30">
        <v>7069</v>
      </c>
      <c r="C30" s="4">
        <v>9.0325415194783432</v>
      </c>
      <c r="D30">
        <v>81.819543329486223</v>
      </c>
      <c r="E30">
        <v>5898</v>
      </c>
      <c r="F30">
        <v>9011</v>
      </c>
    </row>
    <row r="31" spans="1:6" x14ac:dyDescent="0.25">
      <c r="A31">
        <v>14664</v>
      </c>
      <c r="B31">
        <v>14328</v>
      </c>
      <c r="C31" s="4">
        <v>7.0470312824955101</v>
      </c>
      <c r="D31">
        <v>99.219562581187546</v>
      </c>
      <c r="E31">
        <v>5303</v>
      </c>
      <c r="F31">
        <v>2042</v>
      </c>
    </row>
    <row r="32" spans="1:6" x14ac:dyDescent="0.25">
      <c r="A32">
        <v>7925</v>
      </c>
      <c r="B32">
        <v>17974</v>
      </c>
      <c r="C32" s="4">
        <v>7.0130232243741419</v>
      </c>
      <c r="D32">
        <v>95.635512409962828</v>
      </c>
      <c r="E32">
        <v>5625</v>
      </c>
      <c r="F32">
        <v>9036</v>
      </c>
    </row>
    <row r="33" spans="1:6" x14ac:dyDescent="0.25">
      <c r="A33">
        <v>12172</v>
      </c>
      <c r="B33">
        <v>8408</v>
      </c>
      <c r="C33" s="4">
        <v>9.4354450162595995</v>
      </c>
      <c r="D33">
        <v>82.013257716642457</v>
      </c>
      <c r="E33">
        <v>5667</v>
      </c>
      <c r="F33">
        <v>3714</v>
      </c>
    </row>
    <row r="34" spans="1:6" x14ac:dyDescent="0.25">
      <c r="A34">
        <v>15565</v>
      </c>
      <c r="B34">
        <v>11271</v>
      </c>
      <c r="C34" s="4">
        <v>7.8714108298106105</v>
      </c>
      <c r="D34">
        <v>88.555234914073708</v>
      </c>
      <c r="E34">
        <v>5111</v>
      </c>
      <c r="F34">
        <v>5636</v>
      </c>
    </row>
    <row r="35" spans="1:6" x14ac:dyDescent="0.25">
      <c r="A35">
        <v>12996</v>
      </c>
      <c r="B35">
        <v>8740</v>
      </c>
      <c r="C35" s="4">
        <v>5.6438325113956989</v>
      </c>
      <c r="D35">
        <v>89.489147260527972</v>
      </c>
      <c r="E35">
        <v>5317</v>
      </c>
      <c r="F35">
        <v>4230</v>
      </c>
    </row>
    <row r="36" spans="1:6" x14ac:dyDescent="0.25">
      <c r="A36">
        <v>9419</v>
      </c>
      <c r="B36">
        <v>12212</v>
      </c>
      <c r="C36" s="4">
        <v>6.3701588208632218</v>
      </c>
      <c r="D36">
        <v>99.339047718057714</v>
      </c>
      <c r="E36">
        <v>5317</v>
      </c>
      <c r="F36">
        <v>8641</v>
      </c>
    </row>
    <row r="37" spans="1:6" x14ac:dyDescent="0.25">
      <c r="A37">
        <v>18946</v>
      </c>
      <c r="B37">
        <v>16393</v>
      </c>
      <c r="C37" s="4">
        <v>8.9919078575225946</v>
      </c>
      <c r="D37">
        <v>99.41766580973723</v>
      </c>
      <c r="E37">
        <v>5572</v>
      </c>
      <c r="F37">
        <v>4081</v>
      </c>
    </row>
    <row r="38" spans="1:6" x14ac:dyDescent="0.25">
      <c r="A38">
        <v>13184</v>
      </c>
      <c r="B38">
        <v>14527</v>
      </c>
      <c r="C38" s="4">
        <v>7.4485759145154304</v>
      </c>
      <c r="D38">
        <v>82.378199192057266</v>
      </c>
      <c r="E38">
        <v>5316</v>
      </c>
      <c r="F38">
        <v>4636</v>
      </c>
    </row>
    <row r="39" spans="1:6" x14ac:dyDescent="0.25">
      <c r="A39">
        <v>16824</v>
      </c>
      <c r="B39">
        <v>5597</v>
      </c>
      <c r="C39" s="4">
        <v>5.0465736881068901</v>
      </c>
      <c r="D39">
        <v>84.917346552077873</v>
      </c>
      <c r="E39">
        <v>5763</v>
      </c>
      <c r="F39">
        <v>3222</v>
      </c>
    </row>
    <row r="40" spans="1:6" x14ac:dyDescent="0.25">
      <c r="A40">
        <v>17667</v>
      </c>
      <c r="B40">
        <v>9495</v>
      </c>
      <c r="C40" s="4">
        <v>7.9768182365665732</v>
      </c>
      <c r="D40">
        <v>80.524133083487243</v>
      </c>
      <c r="E40">
        <v>5572</v>
      </c>
      <c r="F40">
        <v>5109</v>
      </c>
    </row>
    <row r="41" spans="1:6" x14ac:dyDescent="0.25">
      <c r="A41">
        <v>13177</v>
      </c>
      <c r="B41">
        <v>11558</v>
      </c>
      <c r="C41" s="4">
        <v>9.3531133106568483</v>
      </c>
      <c r="D41">
        <v>80.530053691478045</v>
      </c>
      <c r="E41">
        <v>5573</v>
      </c>
      <c r="F41">
        <v>4524</v>
      </c>
    </row>
    <row r="42" spans="1:6" x14ac:dyDescent="0.25">
      <c r="A42">
        <v>8934</v>
      </c>
      <c r="B42">
        <v>17288</v>
      </c>
      <c r="C42" s="4">
        <v>6.2955696994934645</v>
      </c>
      <c r="D42">
        <v>92.102358965019221</v>
      </c>
      <c r="E42">
        <v>5337</v>
      </c>
      <c r="F42">
        <v>4248</v>
      </c>
    </row>
    <row r="43" spans="1:6" x14ac:dyDescent="0.25">
      <c r="A43">
        <v>7482</v>
      </c>
      <c r="B43">
        <v>5110</v>
      </c>
      <c r="C43" s="4">
        <v>5.077860929810261</v>
      </c>
      <c r="D43">
        <v>94.494406280813138</v>
      </c>
      <c r="E43">
        <v>5693</v>
      </c>
      <c r="F43">
        <v>2639</v>
      </c>
    </row>
    <row r="44" spans="1:6" x14ac:dyDescent="0.25">
      <c r="A44">
        <v>19981</v>
      </c>
      <c r="B44">
        <v>6549</v>
      </c>
      <c r="C44" s="4">
        <v>9.4126349149496082</v>
      </c>
      <c r="D44">
        <v>82.736191867756716</v>
      </c>
      <c r="E44">
        <v>5840</v>
      </c>
      <c r="F44">
        <v>7632</v>
      </c>
    </row>
    <row r="45" spans="1:6" x14ac:dyDescent="0.25">
      <c r="A45">
        <v>16699</v>
      </c>
      <c r="B45">
        <v>6446</v>
      </c>
      <c r="C45" s="4">
        <v>8.3639549107417608</v>
      </c>
      <c r="D45">
        <v>90.484722404055091</v>
      </c>
      <c r="E45">
        <v>5354</v>
      </c>
      <c r="F45">
        <v>6434</v>
      </c>
    </row>
    <row r="46" spans="1:6" x14ac:dyDescent="0.25">
      <c r="A46">
        <v>9964</v>
      </c>
      <c r="B46">
        <v>15664</v>
      </c>
      <c r="C46" s="4">
        <v>9.9514742970739078</v>
      </c>
      <c r="D46">
        <v>95.358161994663746</v>
      </c>
      <c r="E46">
        <v>5767</v>
      </c>
      <c r="F46">
        <v>8136</v>
      </c>
    </row>
    <row r="47" spans="1:6" x14ac:dyDescent="0.25">
      <c r="A47">
        <v>13735</v>
      </c>
      <c r="B47">
        <v>11464</v>
      </c>
      <c r="C47" s="4">
        <v>6.5117025920411375</v>
      </c>
      <c r="D47">
        <v>88.109715441327836</v>
      </c>
      <c r="E47">
        <v>5789</v>
      </c>
      <c r="F47">
        <v>2394</v>
      </c>
    </row>
    <row r="48" spans="1:6" x14ac:dyDescent="0.25">
      <c r="A48">
        <v>14890</v>
      </c>
      <c r="B48">
        <v>4918</v>
      </c>
      <c r="C48" s="4">
        <v>6.3428609723165685</v>
      </c>
      <c r="D48">
        <v>91.325829382742427</v>
      </c>
      <c r="E48">
        <v>5944</v>
      </c>
      <c r="F48">
        <v>7430</v>
      </c>
    </row>
    <row r="49" spans="1:6" x14ac:dyDescent="0.25">
      <c r="A49">
        <v>7317</v>
      </c>
      <c r="B49">
        <v>16873</v>
      </c>
      <c r="C49" s="4">
        <v>9.1118331550542351</v>
      </c>
      <c r="D49">
        <v>86.667970506225444</v>
      </c>
      <c r="E49">
        <v>5605</v>
      </c>
      <c r="F49">
        <v>6040</v>
      </c>
    </row>
    <row r="50" spans="1:6" x14ac:dyDescent="0.25">
      <c r="A50">
        <v>10888</v>
      </c>
      <c r="B50">
        <v>7089</v>
      </c>
      <c r="C50" s="4">
        <v>7.9324036551311359</v>
      </c>
      <c r="D50">
        <v>89.571662073482742</v>
      </c>
      <c r="E50">
        <v>5739</v>
      </c>
      <c r="F50">
        <v>8379</v>
      </c>
    </row>
    <row r="51" spans="1:6" x14ac:dyDescent="0.25">
      <c r="A51">
        <v>16023</v>
      </c>
      <c r="B51">
        <v>3763</v>
      </c>
      <c r="C51" s="4">
        <v>5.8520214366598244</v>
      </c>
      <c r="D51">
        <v>87.03720923618279</v>
      </c>
      <c r="E51">
        <v>5072</v>
      </c>
      <c r="F51">
        <v>4912</v>
      </c>
    </row>
    <row r="52" spans="1:6" x14ac:dyDescent="0.25">
      <c r="A52">
        <v>16103</v>
      </c>
      <c r="B52">
        <v>13491</v>
      </c>
      <c r="C52" s="4">
        <v>8.5072866983436466</v>
      </c>
      <c r="D52">
        <v>94.246228502967583</v>
      </c>
      <c r="E52">
        <v>5284</v>
      </c>
      <c r="F52">
        <v>2012</v>
      </c>
    </row>
    <row r="53" spans="1:6" x14ac:dyDescent="0.25">
      <c r="A53">
        <v>11497</v>
      </c>
      <c r="B53">
        <v>12072</v>
      </c>
      <c r="C53" s="4">
        <v>5.4643382385350376</v>
      </c>
      <c r="D53">
        <v>91.61566661958372</v>
      </c>
      <c r="E53">
        <v>5623</v>
      </c>
      <c r="F53">
        <v>4433</v>
      </c>
    </row>
    <row r="54" spans="1:6" x14ac:dyDescent="0.25">
      <c r="A54">
        <v>17175</v>
      </c>
      <c r="B54">
        <v>7574</v>
      </c>
      <c r="C54" s="4">
        <v>5.0078936015422268</v>
      </c>
      <c r="D54">
        <v>96.188125954036238</v>
      </c>
      <c r="E54">
        <v>5030</v>
      </c>
      <c r="F54">
        <v>8229</v>
      </c>
    </row>
    <row r="55" spans="1:6" x14ac:dyDescent="0.25">
      <c r="A55">
        <v>6018</v>
      </c>
      <c r="B55">
        <v>10843</v>
      </c>
      <c r="C55" s="4">
        <v>5.0038728621095938</v>
      </c>
      <c r="D55">
        <v>98.776446138560345</v>
      </c>
      <c r="E55">
        <v>5222</v>
      </c>
      <c r="F55">
        <v>4054</v>
      </c>
    </row>
    <row r="56" spans="1:6" x14ac:dyDescent="0.25">
      <c r="A56">
        <v>6278</v>
      </c>
      <c r="B56">
        <v>11809</v>
      </c>
      <c r="C56" s="4">
        <v>6.1910664739238106</v>
      </c>
      <c r="D56">
        <v>99.081480534374933</v>
      </c>
      <c r="E56">
        <v>5361</v>
      </c>
      <c r="F56">
        <v>6266</v>
      </c>
    </row>
    <row r="57" spans="1:6" x14ac:dyDescent="0.25">
      <c r="A57">
        <v>11797</v>
      </c>
      <c r="B57">
        <v>11309</v>
      </c>
      <c r="C57" s="4">
        <v>7.5357932305641739</v>
      </c>
      <c r="D57">
        <v>80.371242722971942</v>
      </c>
      <c r="E57">
        <v>5298</v>
      </c>
      <c r="F57">
        <v>5223</v>
      </c>
    </row>
    <row r="58" spans="1:6" x14ac:dyDescent="0.25">
      <c r="A58">
        <v>9294</v>
      </c>
      <c r="B58">
        <v>3065</v>
      </c>
      <c r="C58" s="4">
        <v>8.6122431400609631</v>
      </c>
      <c r="D58">
        <v>98.319395287123243</v>
      </c>
      <c r="E58">
        <v>5382</v>
      </c>
      <c r="F58">
        <v>2992</v>
      </c>
    </row>
    <row r="59" spans="1:6" x14ac:dyDescent="0.25">
      <c r="A59">
        <v>16525</v>
      </c>
      <c r="B59">
        <v>15108</v>
      </c>
      <c r="C59" s="4">
        <v>5.3950086627913194</v>
      </c>
      <c r="D59">
        <v>81.654808784007443</v>
      </c>
      <c r="E59">
        <v>5729</v>
      </c>
      <c r="F59">
        <v>5844</v>
      </c>
    </row>
    <row r="60" spans="1:6" x14ac:dyDescent="0.25">
      <c r="A60">
        <v>11362</v>
      </c>
      <c r="B60">
        <v>3261</v>
      </c>
      <c r="C60" s="4">
        <v>9.6654272529448999</v>
      </c>
      <c r="D60">
        <v>82.585790083028868</v>
      </c>
      <c r="E60">
        <v>5498</v>
      </c>
      <c r="F60">
        <v>5858</v>
      </c>
    </row>
    <row r="61" spans="1:6" x14ac:dyDescent="0.25">
      <c r="A61">
        <v>10537</v>
      </c>
      <c r="B61">
        <v>16921</v>
      </c>
      <c r="C61" s="4">
        <v>8.4144565457757423</v>
      </c>
      <c r="D61">
        <v>87.524633786569566</v>
      </c>
      <c r="E61">
        <v>5828</v>
      </c>
      <c r="F61">
        <v>7014</v>
      </c>
    </row>
    <row r="62" spans="1:6" x14ac:dyDescent="0.25">
      <c r="A62">
        <v>12809</v>
      </c>
      <c r="B62">
        <v>8108</v>
      </c>
      <c r="C62" s="4">
        <v>5.3762333791192631</v>
      </c>
      <c r="D62">
        <v>95.890357606644713</v>
      </c>
      <c r="E62">
        <v>5783</v>
      </c>
      <c r="F62">
        <v>8872</v>
      </c>
    </row>
    <row r="63" spans="1:6" x14ac:dyDescent="0.25">
      <c r="A63">
        <v>16645</v>
      </c>
      <c r="B63">
        <v>10026</v>
      </c>
      <c r="C63" s="4">
        <v>9.6704850870538728</v>
      </c>
      <c r="D63">
        <v>94.141502918653359</v>
      </c>
      <c r="E63">
        <v>5451</v>
      </c>
      <c r="F63">
        <v>7477</v>
      </c>
    </row>
    <row r="64" spans="1:6" x14ac:dyDescent="0.25">
      <c r="A64">
        <v>7870</v>
      </c>
      <c r="B64">
        <v>11789</v>
      </c>
      <c r="C64" s="4">
        <v>6.8884955977398628</v>
      </c>
      <c r="D64">
        <v>97.377015175972886</v>
      </c>
      <c r="E64">
        <v>5700</v>
      </c>
      <c r="F64">
        <v>6689</v>
      </c>
    </row>
    <row r="65" spans="1:6" x14ac:dyDescent="0.25">
      <c r="A65">
        <v>13489</v>
      </c>
      <c r="B65">
        <v>3665</v>
      </c>
      <c r="C65" s="4">
        <v>6.3187411142985557</v>
      </c>
      <c r="D65">
        <v>98.708288395927937</v>
      </c>
      <c r="E65">
        <v>5827</v>
      </c>
      <c r="F65">
        <v>3451</v>
      </c>
    </row>
    <row r="66" spans="1:6" x14ac:dyDescent="0.25">
      <c r="A66">
        <v>13665</v>
      </c>
      <c r="B66">
        <v>8871</v>
      </c>
      <c r="C66" s="4">
        <v>8.1811927385040146</v>
      </c>
      <c r="D66">
        <v>98.887177229684909</v>
      </c>
      <c r="E66">
        <v>5356</v>
      </c>
      <c r="F66">
        <v>7135</v>
      </c>
    </row>
    <row r="67" spans="1:6" x14ac:dyDescent="0.25">
      <c r="A67">
        <v>18390</v>
      </c>
      <c r="B67">
        <v>14396</v>
      </c>
      <c r="C67" s="4">
        <v>8.0743917826798697</v>
      </c>
      <c r="D67">
        <v>88.651099672472611</v>
      </c>
      <c r="E67">
        <v>5690</v>
      </c>
      <c r="F67">
        <v>3150</v>
      </c>
    </row>
    <row r="68" spans="1:6" x14ac:dyDescent="0.25">
      <c r="A68">
        <v>10422</v>
      </c>
      <c r="B68">
        <v>13258</v>
      </c>
      <c r="C68" s="4">
        <v>9.128059215141878</v>
      </c>
      <c r="D68">
        <v>95.720198226421857</v>
      </c>
      <c r="E68">
        <v>5578</v>
      </c>
      <c r="F68">
        <v>1808</v>
      </c>
    </row>
    <row r="69" spans="1:6" x14ac:dyDescent="0.25">
      <c r="A69">
        <v>16152</v>
      </c>
      <c r="B69">
        <v>13130</v>
      </c>
      <c r="C69" s="4">
        <v>7.3239259306422602</v>
      </c>
      <c r="D69">
        <v>86.01588998910006</v>
      </c>
      <c r="E69">
        <v>5400</v>
      </c>
      <c r="F69">
        <v>8210</v>
      </c>
    </row>
    <row r="70" spans="1:6" x14ac:dyDescent="0.25">
      <c r="A70">
        <v>6869</v>
      </c>
      <c r="B70">
        <v>3062</v>
      </c>
      <c r="C70" s="4">
        <v>6.1458482351382759</v>
      </c>
      <c r="D70">
        <v>87.066365354246003</v>
      </c>
      <c r="E70">
        <v>5889</v>
      </c>
      <c r="F70">
        <v>5318</v>
      </c>
    </row>
    <row r="71" spans="1:6" x14ac:dyDescent="0.25">
      <c r="A71">
        <v>11293</v>
      </c>
      <c r="B71">
        <v>16693</v>
      </c>
      <c r="C71" s="4">
        <v>8.571860468001443</v>
      </c>
      <c r="D71">
        <v>88.566688244805704</v>
      </c>
      <c r="E71">
        <v>5412</v>
      </c>
      <c r="F71">
        <v>4077</v>
      </c>
    </row>
    <row r="72" spans="1:6" x14ac:dyDescent="0.25">
      <c r="A72">
        <v>5249</v>
      </c>
      <c r="B72">
        <v>3672</v>
      </c>
      <c r="C72" s="4">
        <v>6.4062409745065949</v>
      </c>
      <c r="D72">
        <v>83.793898747722167</v>
      </c>
      <c r="E72">
        <v>5508</v>
      </c>
      <c r="F72">
        <v>2012</v>
      </c>
    </row>
    <row r="73" spans="1:6" x14ac:dyDescent="0.25">
      <c r="A73">
        <v>5452</v>
      </c>
      <c r="B73">
        <v>4621</v>
      </c>
      <c r="C73" s="4">
        <v>7.9668541081220674</v>
      </c>
      <c r="D73">
        <v>95.91929445665204</v>
      </c>
      <c r="E73">
        <v>5810</v>
      </c>
      <c r="F73">
        <v>9964</v>
      </c>
    </row>
    <row r="74" spans="1:6" x14ac:dyDescent="0.25">
      <c r="A74">
        <v>16129</v>
      </c>
      <c r="B74">
        <v>11681</v>
      </c>
      <c r="C74" s="4">
        <v>7.3170871347253046</v>
      </c>
      <c r="D74">
        <v>85.096632517224165</v>
      </c>
      <c r="E74">
        <v>5842</v>
      </c>
      <c r="F74">
        <v>6121</v>
      </c>
    </row>
    <row r="75" spans="1:6" x14ac:dyDescent="0.25">
      <c r="A75">
        <v>8114</v>
      </c>
      <c r="B75">
        <v>7625</v>
      </c>
      <c r="C75" s="4">
        <v>6.1654278023415072</v>
      </c>
      <c r="D75">
        <v>94.16362856332259</v>
      </c>
      <c r="E75">
        <v>5516</v>
      </c>
      <c r="F75">
        <v>1679</v>
      </c>
    </row>
    <row r="76" spans="1:6" x14ac:dyDescent="0.25">
      <c r="A76">
        <v>13506</v>
      </c>
      <c r="B76">
        <v>12151</v>
      </c>
      <c r="C76" s="4">
        <v>8.7373921068708604</v>
      </c>
      <c r="D76">
        <v>94.35203632180145</v>
      </c>
      <c r="E76">
        <v>5648</v>
      </c>
      <c r="F76">
        <v>2482</v>
      </c>
    </row>
    <row r="77" spans="1:6" x14ac:dyDescent="0.25">
      <c r="A77">
        <v>15615</v>
      </c>
      <c r="B77">
        <v>12755</v>
      </c>
      <c r="C77" s="4">
        <v>5.088007170116744</v>
      </c>
      <c r="D77">
        <v>87.103402572778393</v>
      </c>
      <c r="E77">
        <v>5261</v>
      </c>
      <c r="F77">
        <v>5474</v>
      </c>
    </row>
    <row r="78" spans="1:6" x14ac:dyDescent="0.25">
      <c r="A78">
        <v>11930</v>
      </c>
      <c r="B78">
        <v>6566</v>
      </c>
      <c r="C78" s="4">
        <v>8.8189265462962609</v>
      </c>
      <c r="D78">
        <v>96.294109355824531</v>
      </c>
      <c r="E78">
        <v>5164</v>
      </c>
      <c r="F78">
        <v>8860</v>
      </c>
    </row>
    <row r="79" spans="1:6" x14ac:dyDescent="0.25">
      <c r="A79">
        <v>16785</v>
      </c>
      <c r="B79">
        <v>6252</v>
      </c>
      <c r="C79" s="4">
        <v>9.5300965477496877</v>
      </c>
      <c r="D79">
        <v>98.769699284580071</v>
      </c>
      <c r="E79">
        <v>5711</v>
      </c>
      <c r="F79">
        <v>4425</v>
      </c>
    </row>
    <row r="80" spans="1:6" x14ac:dyDescent="0.25">
      <c r="A80">
        <v>17505</v>
      </c>
      <c r="B80">
        <v>14377</v>
      </c>
      <c r="C80" s="4">
        <v>9.4424485401391713</v>
      </c>
      <c r="D80">
        <v>85.418639356661899</v>
      </c>
      <c r="E80">
        <v>5136</v>
      </c>
      <c r="F80">
        <v>1012</v>
      </c>
    </row>
    <row r="81" spans="1:6" x14ac:dyDescent="0.25">
      <c r="A81">
        <v>15436</v>
      </c>
      <c r="B81">
        <v>10073</v>
      </c>
      <c r="C81" s="4">
        <v>6.6161965514264871</v>
      </c>
      <c r="D81">
        <v>95.897541865041291</v>
      </c>
      <c r="E81">
        <v>5166</v>
      </c>
      <c r="F81">
        <v>8180</v>
      </c>
    </row>
    <row r="82" spans="1:6" x14ac:dyDescent="0.25">
      <c r="A82">
        <v>12852</v>
      </c>
      <c r="B82">
        <v>9181</v>
      </c>
      <c r="C82" s="4">
        <v>9.7949732101482425</v>
      </c>
      <c r="D82">
        <v>88.506197387991918</v>
      </c>
      <c r="E82">
        <v>5630</v>
      </c>
      <c r="F82">
        <v>2100</v>
      </c>
    </row>
    <row r="83" spans="1:6" x14ac:dyDescent="0.25">
      <c r="A83">
        <v>12722</v>
      </c>
      <c r="B83">
        <v>14286</v>
      </c>
      <c r="C83" s="4">
        <v>8.9934349662959914</v>
      </c>
      <c r="D83">
        <v>84.709468606367636</v>
      </c>
      <c r="E83">
        <v>5355</v>
      </c>
      <c r="F83">
        <v>3798</v>
      </c>
    </row>
    <row r="84" spans="1:6" x14ac:dyDescent="0.25">
      <c r="A84">
        <v>18325</v>
      </c>
      <c r="B84">
        <v>9101</v>
      </c>
      <c r="C84" s="4">
        <v>5.0909486827296044</v>
      </c>
      <c r="D84">
        <v>90.731413469614424</v>
      </c>
      <c r="E84">
        <v>5961</v>
      </c>
      <c r="F84">
        <v>2542</v>
      </c>
    </row>
    <row r="85" spans="1:6" x14ac:dyDescent="0.25">
      <c r="A85">
        <v>18112</v>
      </c>
      <c r="B85">
        <v>7998</v>
      </c>
      <c r="C85" s="4">
        <v>6.4320002013350885</v>
      </c>
      <c r="D85">
        <v>89.273837468607582</v>
      </c>
      <c r="E85">
        <v>5996</v>
      </c>
      <c r="F85">
        <v>2051</v>
      </c>
    </row>
    <row r="86" spans="1:6" x14ac:dyDescent="0.25">
      <c r="A86">
        <v>13871</v>
      </c>
      <c r="B86">
        <v>8972</v>
      </c>
      <c r="C86" s="4">
        <v>7.8835838263231679</v>
      </c>
      <c r="D86">
        <v>90.80215120540899</v>
      </c>
      <c r="E86">
        <v>5527</v>
      </c>
      <c r="F86">
        <v>1369</v>
      </c>
    </row>
    <row r="87" spans="1:6" x14ac:dyDescent="0.25">
      <c r="A87">
        <v>12176</v>
      </c>
      <c r="B87">
        <v>17861</v>
      </c>
      <c r="C87" s="4">
        <v>7.5010107399229247</v>
      </c>
      <c r="D87">
        <v>99.476060091287835</v>
      </c>
      <c r="E87">
        <v>5019</v>
      </c>
      <c r="F87">
        <v>4424</v>
      </c>
    </row>
    <row r="88" spans="1:6" x14ac:dyDescent="0.25">
      <c r="A88">
        <v>10540</v>
      </c>
      <c r="B88">
        <v>14475</v>
      </c>
      <c r="C88" s="4">
        <v>6.3184654109569243</v>
      </c>
      <c r="D88">
        <v>82.48110340306367</v>
      </c>
      <c r="E88">
        <v>5075</v>
      </c>
      <c r="F88">
        <v>8519</v>
      </c>
    </row>
    <row r="89" spans="1:6" x14ac:dyDescent="0.25">
      <c r="A89">
        <v>8301</v>
      </c>
      <c r="B89">
        <v>6206</v>
      </c>
      <c r="C89" s="4">
        <v>9.3642027334855289</v>
      </c>
      <c r="D89">
        <v>82.877952821543929</v>
      </c>
      <c r="E89">
        <v>5973</v>
      </c>
      <c r="F89">
        <v>9114</v>
      </c>
    </row>
    <row r="90" spans="1:6" x14ac:dyDescent="0.25">
      <c r="A90">
        <v>14625</v>
      </c>
      <c r="B90">
        <v>8398</v>
      </c>
      <c r="C90" s="4">
        <v>6.1583346816363056</v>
      </c>
      <c r="D90">
        <v>92.490891664673313</v>
      </c>
      <c r="E90">
        <v>5160</v>
      </c>
      <c r="F90">
        <v>3415</v>
      </c>
    </row>
    <row r="91" spans="1:6" x14ac:dyDescent="0.25">
      <c r="A91">
        <v>6042</v>
      </c>
      <c r="B91">
        <v>13951</v>
      </c>
      <c r="C91" s="4">
        <v>8.8882051432794178</v>
      </c>
      <c r="D91">
        <v>93.319124034679476</v>
      </c>
      <c r="E91">
        <v>5687</v>
      </c>
      <c r="F91">
        <v>8456</v>
      </c>
    </row>
    <row r="92" spans="1:6" x14ac:dyDescent="0.25">
      <c r="A92">
        <v>8587</v>
      </c>
      <c r="B92">
        <v>13306</v>
      </c>
      <c r="C92" s="4">
        <v>7.6478321684193515</v>
      </c>
      <c r="D92">
        <v>82.693746055202297</v>
      </c>
      <c r="E92">
        <v>5503</v>
      </c>
      <c r="F92">
        <v>5328</v>
      </c>
    </row>
    <row r="93" spans="1:6" x14ac:dyDescent="0.25">
      <c r="A93">
        <v>10603</v>
      </c>
      <c r="B93">
        <v>8819</v>
      </c>
      <c r="C93" s="4">
        <v>6.565195512780071</v>
      </c>
      <c r="D93">
        <v>98.380368286111732</v>
      </c>
      <c r="E93">
        <v>5664</v>
      </c>
      <c r="F93">
        <v>4570</v>
      </c>
    </row>
    <row r="94" spans="1:6" x14ac:dyDescent="0.25">
      <c r="A94">
        <v>13684</v>
      </c>
      <c r="B94">
        <v>15434</v>
      </c>
      <c r="C94" s="4">
        <v>8.1979588732286413</v>
      </c>
      <c r="D94">
        <v>87.788524430565673</v>
      </c>
      <c r="E94">
        <v>5510</v>
      </c>
      <c r="F94">
        <v>5569</v>
      </c>
    </row>
    <row r="95" spans="1:6" x14ac:dyDescent="0.25">
      <c r="A95">
        <v>18652</v>
      </c>
      <c r="B95">
        <v>10445</v>
      </c>
      <c r="C95" s="4">
        <v>8.2526108380495469</v>
      </c>
      <c r="D95">
        <v>92.350327241503351</v>
      </c>
      <c r="E95">
        <v>5547</v>
      </c>
      <c r="F95">
        <v>6650</v>
      </c>
    </row>
    <row r="96" spans="1:6" x14ac:dyDescent="0.25">
      <c r="A96">
        <v>19427</v>
      </c>
      <c r="B96">
        <v>14974</v>
      </c>
      <c r="C96" s="4">
        <v>9.2322267092350714</v>
      </c>
      <c r="D96">
        <v>80.788503055540019</v>
      </c>
      <c r="E96">
        <v>5157</v>
      </c>
      <c r="F96">
        <v>7513</v>
      </c>
    </row>
    <row r="97" spans="1:6" x14ac:dyDescent="0.25">
      <c r="A97">
        <v>19213</v>
      </c>
      <c r="B97">
        <v>16448</v>
      </c>
      <c r="C97" s="4">
        <v>9.6515126729901333</v>
      </c>
      <c r="D97">
        <v>92.908150088890508</v>
      </c>
      <c r="E97">
        <v>5244</v>
      </c>
      <c r="F97">
        <v>3993</v>
      </c>
    </row>
    <row r="98" spans="1:6" x14ac:dyDescent="0.25">
      <c r="A98">
        <v>14674</v>
      </c>
      <c r="B98">
        <v>15215</v>
      </c>
      <c r="C98" s="4">
        <v>9.3615429513116837</v>
      </c>
      <c r="D98">
        <v>90.657976224870907</v>
      </c>
      <c r="E98">
        <v>5437</v>
      </c>
      <c r="F98">
        <v>4553</v>
      </c>
    </row>
    <row r="99" spans="1:6" x14ac:dyDescent="0.25">
      <c r="A99">
        <v>5950</v>
      </c>
      <c r="B99">
        <v>17963</v>
      </c>
      <c r="C99" s="4">
        <v>5.0579384843566775</v>
      </c>
      <c r="D99">
        <v>89.321376224358971</v>
      </c>
      <c r="E99">
        <v>5998</v>
      </c>
      <c r="F99">
        <v>1166</v>
      </c>
    </row>
    <row r="100" spans="1:6" x14ac:dyDescent="0.25">
      <c r="A100">
        <v>8364</v>
      </c>
      <c r="B100">
        <v>17744</v>
      </c>
      <c r="C100" s="4">
        <v>5.4248090428736546</v>
      </c>
      <c r="D100">
        <v>88.719163680846151</v>
      </c>
      <c r="E100">
        <v>5549</v>
      </c>
      <c r="F100">
        <v>7989</v>
      </c>
    </row>
    <row r="101" spans="1:6" x14ac:dyDescent="0.25">
      <c r="A101">
        <v>18506</v>
      </c>
      <c r="B101">
        <v>4402</v>
      </c>
      <c r="C101" s="4">
        <v>8.1338892417232209</v>
      </c>
      <c r="D101">
        <v>81.47134025129823</v>
      </c>
      <c r="E101">
        <v>5318</v>
      </c>
      <c r="F101">
        <v>3206</v>
      </c>
    </row>
    <row r="102" spans="1:6" x14ac:dyDescent="0.25">
      <c r="A102">
        <v>5409</v>
      </c>
      <c r="B102">
        <v>3204</v>
      </c>
      <c r="C102" s="4">
        <v>9.4328973258247935</v>
      </c>
      <c r="D102">
        <v>89.427346134059391</v>
      </c>
      <c r="E102">
        <v>5962</v>
      </c>
      <c r="F102">
        <v>2198</v>
      </c>
    </row>
    <row r="103" spans="1:6" x14ac:dyDescent="0.25">
      <c r="A103">
        <v>5517</v>
      </c>
      <c r="B103">
        <v>9474</v>
      </c>
      <c r="C103" s="4">
        <v>7.2654872531583781</v>
      </c>
      <c r="D103">
        <v>99.056390238455776</v>
      </c>
      <c r="E103">
        <v>5261</v>
      </c>
      <c r="F103">
        <v>5981</v>
      </c>
    </row>
    <row r="104" spans="1:6" x14ac:dyDescent="0.25">
      <c r="A104">
        <v>17649</v>
      </c>
      <c r="B104">
        <v>11269</v>
      </c>
      <c r="C104" s="4">
        <v>8.7605939364903982</v>
      </c>
      <c r="D104">
        <v>93.954845356984578</v>
      </c>
      <c r="E104">
        <v>5105</v>
      </c>
      <c r="F104">
        <v>8530</v>
      </c>
    </row>
    <row r="105" spans="1:6" x14ac:dyDescent="0.25">
      <c r="A105">
        <v>9154</v>
      </c>
      <c r="B105">
        <v>9530</v>
      </c>
      <c r="C105" s="4">
        <v>7.7815835450462068</v>
      </c>
      <c r="D105">
        <v>87.43945639051006</v>
      </c>
      <c r="E105">
        <v>5185</v>
      </c>
      <c r="F105">
        <v>2021</v>
      </c>
    </row>
    <row r="106" spans="1:6" x14ac:dyDescent="0.25">
      <c r="A106">
        <v>18304</v>
      </c>
      <c r="B106">
        <v>4741</v>
      </c>
      <c r="C106" s="4">
        <v>6.0791625360571206</v>
      </c>
      <c r="D106">
        <v>89.177745504021374</v>
      </c>
      <c r="E106">
        <v>5676</v>
      </c>
      <c r="F106">
        <v>9649</v>
      </c>
    </row>
    <row r="107" spans="1:6" x14ac:dyDescent="0.25">
      <c r="A107">
        <v>18268</v>
      </c>
      <c r="B107">
        <v>4144</v>
      </c>
      <c r="C107" s="4">
        <v>8.3057271951342191</v>
      </c>
      <c r="D107">
        <v>83.755825772553493</v>
      </c>
      <c r="E107">
        <v>5741</v>
      </c>
      <c r="F107">
        <v>2447</v>
      </c>
    </row>
    <row r="108" spans="1:6" x14ac:dyDescent="0.25">
      <c r="A108">
        <v>7707</v>
      </c>
      <c r="B108">
        <v>3069</v>
      </c>
      <c r="C108" s="4">
        <v>9.1012469164374661</v>
      </c>
      <c r="D108">
        <v>91.292558546626211</v>
      </c>
      <c r="E108">
        <v>5457</v>
      </c>
      <c r="F108">
        <v>3542</v>
      </c>
    </row>
    <row r="109" spans="1:6" x14ac:dyDescent="0.25">
      <c r="A109">
        <v>15273</v>
      </c>
      <c r="B109">
        <v>9487</v>
      </c>
      <c r="C109" s="4">
        <v>8.1268480721058154</v>
      </c>
      <c r="D109">
        <v>99.45760911339093</v>
      </c>
      <c r="E109">
        <v>5431</v>
      </c>
      <c r="F109">
        <v>3827</v>
      </c>
    </row>
    <row r="110" spans="1:6" x14ac:dyDescent="0.25">
      <c r="A110">
        <v>18413</v>
      </c>
      <c r="B110">
        <v>9813</v>
      </c>
      <c r="C110" s="4">
        <v>5.5656064619010284</v>
      </c>
      <c r="D110">
        <v>82.876447191927411</v>
      </c>
      <c r="E110">
        <v>5211</v>
      </c>
      <c r="F110">
        <v>7702</v>
      </c>
    </row>
    <row r="111" spans="1:6" x14ac:dyDescent="0.25">
      <c r="A111">
        <v>8729</v>
      </c>
      <c r="B111">
        <v>12759</v>
      </c>
      <c r="C111" s="4">
        <v>9.7974998973798595</v>
      </c>
      <c r="D111">
        <v>81.827646466035119</v>
      </c>
      <c r="E111">
        <v>5312</v>
      </c>
      <c r="F111">
        <v>4862</v>
      </c>
    </row>
    <row r="112" spans="1:6" x14ac:dyDescent="0.25">
      <c r="A112">
        <v>11031</v>
      </c>
      <c r="B112">
        <v>16025</v>
      </c>
      <c r="C112" s="4">
        <v>5.7088761228612555</v>
      </c>
      <c r="D112">
        <v>80.650231614233377</v>
      </c>
      <c r="E112">
        <v>5991</v>
      </c>
      <c r="F112">
        <v>6797</v>
      </c>
    </row>
    <row r="113" spans="1:6" x14ac:dyDescent="0.25">
      <c r="A113">
        <v>18220</v>
      </c>
      <c r="B113">
        <v>15797</v>
      </c>
      <c r="C113" s="4">
        <v>7.1932796428793697</v>
      </c>
      <c r="D113">
        <v>86.867395863266395</v>
      </c>
      <c r="E113">
        <v>5766</v>
      </c>
      <c r="F113">
        <v>1808</v>
      </c>
    </row>
    <row r="114" spans="1:6" x14ac:dyDescent="0.25">
      <c r="A114">
        <v>12193</v>
      </c>
      <c r="B114">
        <v>16173</v>
      </c>
      <c r="C114" s="4">
        <v>6.5707555654168956</v>
      </c>
      <c r="D114">
        <v>91.952054676994663</v>
      </c>
      <c r="E114">
        <v>5794</v>
      </c>
      <c r="F114">
        <v>5627</v>
      </c>
    </row>
    <row r="115" spans="1:6" x14ac:dyDescent="0.25">
      <c r="A115">
        <v>6741</v>
      </c>
      <c r="B115">
        <v>7277</v>
      </c>
      <c r="C115" s="4">
        <v>7.5341977964893472</v>
      </c>
      <c r="D115">
        <v>88.20525383345101</v>
      </c>
      <c r="E115">
        <v>5150</v>
      </c>
      <c r="F115">
        <v>7798</v>
      </c>
    </row>
    <row r="116" spans="1:6" x14ac:dyDescent="0.25">
      <c r="A116">
        <v>11367</v>
      </c>
      <c r="B116">
        <v>7327</v>
      </c>
      <c r="C116" s="4">
        <v>9.5805295429779491</v>
      </c>
      <c r="D116">
        <v>97.361211930196035</v>
      </c>
      <c r="E116">
        <v>5408</v>
      </c>
      <c r="F116">
        <v>3425</v>
      </c>
    </row>
    <row r="117" spans="1:6" x14ac:dyDescent="0.25">
      <c r="A117">
        <v>9239</v>
      </c>
      <c r="B117">
        <v>14676</v>
      </c>
      <c r="C117" s="4">
        <v>5.072389198964375</v>
      </c>
      <c r="D117">
        <v>98.800854530169701</v>
      </c>
      <c r="E117">
        <v>5851</v>
      </c>
      <c r="F117">
        <v>5815</v>
      </c>
    </row>
    <row r="118" spans="1:6" x14ac:dyDescent="0.25">
      <c r="A118">
        <v>7546</v>
      </c>
      <c r="B118">
        <v>6056</v>
      </c>
      <c r="C118" s="4">
        <v>5.980966657956035</v>
      </c>
      <c r="D118">
        <v>84.178483683324487</v>
      </c>
      <c r="E118">
        <v>5355</v>
      </c>
      <c r="F118">
        <v>2094</v>
      </c>
    </row>
    <row r="119" spans="1:6" x14ac:dyDescent="0.25">
      <c r="A119">
        <v>11269</v>
      </c>
      <c r="B119">
        <v>6012</v>
      </c>
      <c r="C119" s="4">
        <v>5.2976001080518325</v>
      </c>
      <c r="D119">
        <v>83.177730156930693</v>
      </c>
      <c r="E119">
        <v>5914</v>
      </c>
      <c r="F119">
        <v>7920</v>
      </c>
    </row>
    <row r="120" spans="1:6" x14ac:dyDescent="0.25">
      <c r="A120">
        <v>17945</v>
      </c>
      <c r="B120">
        <v>13264</v>
      </c>
      <c r="C120" s="4">
        <v>9.9325122607943275</v>
      </c>
      <c r="D120">
        <v>93.399681583637815</v>
      </c>
      <c r="E120">
        <v>5940</v>
      </c>
      <c r="F120">
        <v>2434</v>
      </c>
    </row>
    <row r="121" spans="1:6" x14ac:dyDescent="0.25">
      <c r="A121">
        <v>17734</v>
      </c>
      <c r="B121">
        <v>11397</v>
      </c>
      <c r="C121" s="4">
        <v>9.1457484614042706</v>
      </c>
      <c r="D121">
        <v>82.413936453387393</v>
      </c>
      <c r="E121">
        <v>5355</v>
      </c>
      <c r="F121">
        <v>2328</v>
      </c>
    </row>
    <row r="122" spans="1:6" x14ac:dyDescent="0.25">
      <c r="A122">
        <v>11276</v>
      </c>
      <c r="B122">
        <v>17735</v>
      </c>
      <c r="C122" s="4">
        <v>8.5222424303710653</v>
      </c>
      <c r="D122">
        <v>89.342042310644501</v>
      </c>
      <c r="E122">
        <v>5885</v>
      </c>
      <c r="F122">
        <v>6032</v>
      </c>
    </row>
    <row r="123" spans="1:6" x14ac:dyDescent="0.25">
      <c r="A123">
        <v>5344</v>
      </c>
      <c r="B123">
        <v>11537</v>
      </c>
      <c r="C123" s="4">
        <v>9.3805510075659519</v>
      </c>
      <c r="D123">
        <v>90.100567300465926</v>
      </c>
      <c r="E123">
        <v>5823</v>
      </c>
      <c r="F123">
        <v>9576</v>
      </c>
    </row>
    <row r="124" spans="1:6" x14ac:dyDescent="0.25">
      <c r="A124">
        <v>5327</v>
      </c>
      <c r="B124">
        <v>5833</v>
      </c>
      <c r="C124" s="4">
        <v>7.1041801929195838</v>
      </c>
      <c r="D124">
        <v>96.466444570435911</v>
      </c>
      <c r="E124">
        <v>5850</v>
      </c>
      <c r="F124">
        <v>8245</v>
      </c>
    </row>
    <row r="125" spans="1:6" x14ac:dyDescent="0.25">
      <c r="A125">
        <v>6127</v>
      </c>
      <c r="B125">
        <v>7517</v>
      </c>
      <c r="C125" s="4">
        <v>6.5357666279675577</v>
      </c>
      <c r="D125">
        <v>86.962502652693104</v>
      </c>
      <c r="E125">
        <v>5570</v>
      </c>
      <c r="F125">
        <v>9740</v>
      </c>
    </row>
    <row r="126" spans="1:6" x14ac:dyDescent="0.25">
      <c r="A126">
        <v>19098</v>
      </c>
      <c r="B126">
        <v>14840</v>
      </c>
      <c r="C126" s="4">
        <v>9.9830729179791859</v>
      </c>
      <c r="D126">
        <v>89.663250067471637</v>
      </c>
      <c r="E126">
        <v>5422</v>
      </c>
      <c r="F126">
        <v>6543</v>
      </c>
    </row>
    <row r="127" spans="1:6" x14ac:dyDescent="0.25">
      <c r="A127">
        <v>11353</v>
      </c>
      <c r="B127">
        <v>3487</v>
      </c>
      <c r="C127" s="4">
        <v>8.2754146931781136</v>
      </c>
      <c r="D127">
        <v>97.005400452623434</v>
      </c>
      <c r="E127">
        <v>5084</v>
      </c>
      <c r="F127">
        <v>5478</v>
      </c>
    </row>
    <row r="128" spans="1:6" x14ac:dyDescent="0.25">
      <c r="A128">
        <v>12316</v>
      </c>
      <c r="B128">
        <v>14280</v>
      </c>
      <c r="C128" s="4">
        <v>9.7927374356164023</v>
      </c>
      <c r="D128">
        <v>94.988197243827614</v>
      </c>
      <c r="E128">
        <v>5277</v>
      </c>
      <c r="F128">
        <v>7450</v>
      </c>
    </row>
    <row r="129" spans="1:6" x14ac:dyDescent="0.25">
      <c r="A129">
        <v>7379</v>
      </c>
      <c r="B129">
        <v>12150</v>
      </c>
      <c r="C129" s="4">
        <v>8.7736219623868816</v>
      </c>
      <c r="D129">
        <v>92.747152282322759</v>
      </c>
      <c r="E129">
        <v>5701</v>
      </c>
      <c r="F129">
        <v>6800</v>
      </c>
    </row>
    <row r="130" spans="1:6" x14ac:dyDescent="0.25">
      <c r="A130">
        <v>16771</v>
      </c>
      <c r="B130">
        <v>6605</v>
      </c>
      <c r="C130" s="4">
        <v>9.727376198679984</v>
      </c>
      <c r="D130">
        <v>86.663631706422876</v>
      </c>
      <c r="E130">
        <v>5658</v>
      </c>
      <c r="F130">
        <v>1464</v>
      </c>
    </row>
    <row r="131" spans="1:6" x14ac:dyDescent="0.25">
      <c r="A131">
        <v>15973</v>
      </c>
      <c r="B131">
        <v>4817</v>
      </c>
      <c r="C131" s="4">
        <v>5.0253789074856119</v>
      </c>
      <c r="D131">
        <v>80.605250446840301</v>
      </c>
      <c r="E131">
        <v>5180</v>
      </c>
      <c r="F131">
        <v>7372</v>
      </c>
    </row>
    <row r="132" spans="1:6" x14ac:dyDescent="0.25">
      <c r="A132">
        <v>6377</v>
      </c>
      <c r="B132">
        <v>10741</v>
      </c>
      <c r="C132" s="4">
        <v>6.4003265073765725</v>
      </c>
      <c r="D132">
        <v>82.607648817568901</v>
      </c>
      <c r="E132">
        <v>5441</v>
      </c>
      <c r="F132">
        <v>8824</v>
      </c>
    </row>
    <row r="133" spans="1:6" x14ac:dyDescent="0.25">
      <c r="A133">
        <v>6459</v>
      </c>
      <c r="B133">
        <v>11805</v>
      </c>
      <c r="C133" s="4">
        <v>9.6676608949066498</v>
      </c>
      <c r="D133">
        <v>91.875157686347379</v>
      </c>
      <c r="E133">
        <v>5101</v>
      </c>
      <c r="F133">
        <v>6426</v>
      </c>
    </row>
    <row r="134" spans="1:6" x14ac:dyDescent="0.25">
      <c r="A134">
        <v>8176</v>
      </c>
      <c r="B134">
        <v>13324</v>
      </c>
      <c r="C134" s="4">
        <v>9.3238770627235397</v>
      </c>
      <c r="D134">
        <v>85.092499579756634</v>
      </c>
      <c r="E134">
        <v>5289</v>
      </c>
      <c r="F134">
        <v>7466</v>
      </c>
    </row>
    <row r="135" spans="1:6" x14ac:dyDescent="0.25">
      <c r="A135">
        <v>13250</v>
      </c>
      <c r="B135">
        <v>15467</v>
      </c>
      <c r="C135" s="4">
        <v>7.1039220342421423</v>
      </c>
      <c r="D135">
        <v>88.965412217667932</v>
      </c>
      <c r="E135">
        <v>5971</v>
      </c>
      <c r="F135">
        <v>4140</v>
      </c>
    </row>
    <row r="136" spans="1:6" x14ac:dyDescent="0.25">
      <c r="A136">
        <v>12313</v>
      </c>
      <c r="B136">
        <v>8693</v>
      </c>
      <c r="C136" s="4">
        <v>9.9022777533178914</v>
      </c>
      <c r="D136">
        <v>91.061035892397769</v>
      </c>
      <c r="E136">
        <v>5341</v>
      </c>
      <c r="F136">
        <v>7351</v>
      </c>
    </row>
    <row r="137" spans="1:6" x14ac:dyDescent="0.25">
      <c r="A137">
        <v>7655</v>
      </c>
      <c r="B137">
        <v>17000</v>
      </c>
      <c r="C137" s="4">
        <v>9.6916294269663119</v>
      </c>
      <c r="D137">
        <v>96.466548297352176</v>
      </c>
      <c r="E137">
        <v>5706</v>
      </c>
      <c r="F137">
        <v>6961</v>
      </c>
    </row>
    <row r="138" spans="1:6" x14ac:dyDescent="0.25">
      <c r="A138">
        <v>10232</v>
      </c>
      <c r="B138">
        <v>14162</v>
      </c>
      <c r="C138" s="4">
        <v>5.2636576739056631</v>
      </c>
      <c r="D138">
        <v>89.884215083206101</v>
      </c>
      <c r="E138">
        <v>5288</v>
      </c>
      <c r="F138">
        <v>5433</v>
      </c>
    </row>
    <row r="139" spans="1:6" x14ac:dyDescent="0.25">
      <c r="A139">
        <v>15423</v>
      </c>
      <c r="B139">
        <v>11515</v>
      </c>
      <c r="C139" s="4">
        <v>5.3225023885299771</v>
      </c>
      <c r="D139">
        <v>83.198395078771512</v>
      </c>
      <c r="E139">
        <v>5204</v>
      </c>
      <c r="F139">
        <v>3520</v>
      </c>
    </row>
    <row r="140" spans="1:6" x14ac:dyDescent="0.25">
      <c r="A140">
        <v>15028</v>
      </c>
      <c r="B140">
        <v>16372</v>
      </c>
      <c r="C140" s="4">
        <v>9.307293752659568</v>
      </c>
      <c r="D140">
        <v>82.379797639101142</v>
      </c>
      <c r="E140">
        <v>5183</v>
      </c>
      <c r="F140">
        <v>2851</v>
      </c>
    </row>
    <row r="141" spans="1:6" x14ac:dyDescent="0.25">
      <c r="A141">
        <v>17196</v>
      </c>
      <c r="B141">
        <v>9859</v>
      </c>
      <c r="C141" s="4">
        <v>9.1112476942456908</v>
      </c>
      <c r="D141">
        <v>89.823424654321968</v>
      </c>
      <c r="E141">
        <v>5987</v>
      </c>
      <c r="F141">
        <v>3065</v>
      </c>
    </row>
    <row r="142" spans="1:6" x14ac:dyDescent="0.25">
      <c r="A142">
        <v>10797</v>
      </c>
      <c r="B142">
        <v>10604</v>
      </c>
      <c r="C142" s="4">
        <v>5.1827811347624273</v>
      </c>
      <c r="D142">
        <v>85.020436696126524</v>
      </c>
      <c r="E142">
        <v>5953</v>
      </c>
      <c r="F142">
        <v>5612</v>
      </c>
    </row>
    <row r="143" spans="1:6" x14ac:dyDescent="0.25">
      <c r="A143">
        <v>6974</v>
      </c>
      <c r="B143">
        <v>14265</v>
      </c>
      <c r="C143" s="4">
        <v>7.2207480957094488</v>
      </c>
      <c r="D143">
        <v>88.928665186364142</v>
      </c>
      <c r="E143">
        <v>5419</v>
      </c>
      <c r="F143">
        <v>5209</v>
      </c>
    </row>
    <row r="144" spans="1:6" x14ac:dyDescent="0.25">
      <c r="A144">
        <v>14310</v>
      </c>
      <c r="B144">
        <v>7457</v>
      </c>
      <c r="C144" s="4">
        <v>5.0670846983476183</v>
      </c>
      <c r="D144">
        <v>99.119347548352764</v>
      </c>
      <c r="E144">
        <v>5127</v>
      </c>
      <c r="F144">
        <v>1842</v>
      </c>
    </row>
    <row r="145" spans="1:6" x14ac:dyDescent="0.25">
      <c r="A145">
        <v>11000</v>
      </c>
      <c r="B145">
        <v>9243</v>
      </c>
      <c r="C145" s="4">
        <v>7.0919925445685355</v>
      </c>
      <c r="D145">
        <v>99.67789565720166</v>
      </c>
      <c r="E145">
        <v>5091</v>
      </c>
      <c r="F145">
        <v>1318</v>
      </c>
    </row>
    <row r="146" spans="1:6" x14ac:dyDescent="0.25">
      <c r="A146">
        <v>13431</v>
      </c>
      <c r="B146">
        <v>17710</v>
      </c>
      <c r="C146" s="4">
        <v>8.0160664028020356</v>
      </c>
      <c r="D146">
        <v>85.391911737388199</v>
      </c>
      <c r="E146">
        <v>5638</v>
      </c>
      <c r="F146">
        <v>1608</v>
      </c>
    </row>
    <row r="147" spans="1:6" x14ac:dyDescent="0.25">
      <c r="A147">
        <v>8805</v>
      </c>
      <c r="B147">
        <v>6561</v>
      </c>
      <c r="C147" s="4">
        <v>5.9267544383941617</v>
      </c>
      <c r="D147">
        <v>96.68605301635435</v>
      </c>
      <c r="E147">
        <v>5805</v>
      </c>
      <c r="F147">
        <v>3236</v>
      </c>
    </row>
    <row r="148" spans="1:6" x14ac:dyDescent="0.25">
      <c r="A148">
        <v>7813</v>
      </c>
      <c r="B148">
        <v>12592</v>
      </c>
      <c r="C148" s="4">
        <v>5.3697799768623513</v>
      </c>
      <c r="D148">
        <v>87.864610282660863</v>
      </c>
      <c r="E148">
        <v>5594</v>
      </c>
      <c r="F148">
        <v>7810</v>
      </c>
    </row>
    <row r="149" spans="1:6" x14ac:dyDescent="0.25">
      <c r="A149">
        <v>14578</v>
      </c>
      <c r="B149">
        <v>12573</v>
      </c>
      <c r="C149" s="4">
        <v>9.1771237005999318</v>
      </c>
      <c r="D149">
        <v>84.466666207002092</v>
      </c>
      <c r="E149">
        <v>5081</v>
      </c>
      <c r="F149">
        <v>7074</v>
      </c>
    </row>
    <row r="150" spans="1:6" x14ac:dyDescent="0.25">
      <c r="A150">
        <v>15920</v>
      </c>
      <c r="B150">
        <v>13941</v>
      </c>
      <c r="C150" s="4">
        <v>5.9290802206813922</v>
      </c>
      <c r="D150">
        <v>82.258292843665743</v>
      </c>
      <c r="E150">
        <v>5974</v>
      </c>
      <c r="F150">
        <v>8680</v>
      </c>
    </row>
    <row r="151" spans="1:6" x14ac:dyDescent="0.25">
      <c r="A151">
        <v>9767</v>
      </c>
      <c r="B151">
        <v>15950</v>
      </c>
      <c r="C151" s="4">
        <v>6.2720171620276686</v>
      </c>
      <c r="D151">
        <v>94.835300839522972</v>
      </c>
      <c r="E151">
        <v>5737</v>
      </c>
      <c r="F151">
        <v>5661</v>
      </c>
    </row>
    <row r="152" spans="1:6" x14ac:dyDescent="0.25">
      <c r="A152">
        <v>8942</v>
      </c>
      <c r="B152">
        <v>10790</v>
      </c>
      <c r="C152" s="4">
        <v>5.5994323423720367</v>
      </c>
      <c r="D152">
        <v>82.951251678742764</v>
      </c>
      <c r="E152">
        <v>5551</v>
      </c>
      <c r="F152">
        <v>6931</v>
      </c>
    </row>
    <row r="153" spans="1:6" x14ac:dyDescent="0.25">
      <c r="A153">
        <v>12080</v>
      </c>
      <c r="B153">
        <v>9562</v>
      </c>
      <c r="C153" s="4">
        <v>8.7954777465189444</v>
      </c>
      <c r="D153">
        <v>90.941891312050004</v>
      </c>
      <c r="E153">
        <v>5505</v>
      </c>
      <c r="F153">
        <v>3035</v>
      </c>
    </row>
    <row r="154" spans="1:6" x14ac:dyDescent="0.25">
      <c r="A154">
        <v>10237</v>
      </c>
      <c r="B154">
        <v>15595</v>
      </c>
      <c r="C154" s="4">
        <v>6.2856587878789787</v>
      </c>
      <c r="D154">
        <v>97.30599368792636</v>
      </c>
      <c r="E154">
        <v>5485</v>
      </c>
      <c r="F154">
        <v>3256</v>
      </c>
    </row>
    <row r="155" spans="1:6" x14ac:dyDescent="0.25">
      <c r="A155">
        <v>15910</v>
      </c>
      <c r="B155">
        <v>3334</v>
      </c>
      <c r="C155" s="4">
        <v>8.0681618742297445</v>
      </c>
      <c r="D155">
        <v>97.807990976425287</v>
      </c>
      <c r="E155">
        <v>5703</v>
      </c>
      <c r="F155">
        <v>8413</v>
      </c>
    </row>
    <row r="156" spans="1:6" x14ac:dyDescent="0.25">
      <c r="A156">
        <v>16289</v>
      </c>
      <c r="B156">
        <v>12009</v>
      </c>
      <c r="C156" s="4">
        <v>5.1210531531420616</v>
      </c>
      <c r="D156">
        <v>96.891631810124764</v>
      </c>
      <c r="E156">
        <v>5321</v>
      </c>
      <c r="F156">
        <v>6765</v>
      </c>
    </row>
    <row r="157" spans="1:6" x14ac:dyDescent="0.25">
      <c r="A157">
        <v>16688</v>
      </c>
      <c r="B157">
        <v>11752</v>
      </c>
      <c r="C157" s="4">
        <v>6.6842332186407205</v>
      </c>
      <c r="D157">
        <v>89.237027329554508</v>
      </c>
      <c r="E157">
        <v>5186</v>
      </c>
      <c r="F157">
        <v>9778</v>
      </c>
    </row>
    <row r="158" spans="1:6" x14ac:dyDescent="0.25">
      <c r="A158">
        <v>16372</v>
      </c>
      <c r="B158">
        <v>13716</v>
      </c>
      <c r="C158" s="4">
        <v>6.548721205545009</v>
      </c>
      <c r="D158">
        <v>94.879623145427217</v>
      </c>
      <c r="E158">
        <v>5431</v>
      </c>
      <c r="F158">
        <v>4496</v>
      </c>
    </row>
    <row r="159" spans="1:6" x14ac:dyDescent="0.25">
      <c r="A159">
        <v>17408</v>
      </c>
      <c r="B159">
        <v>14434</v>
      </c>
      <c r="C159" s="4">
        <v>6.3311880087836965</v>
      </c>
      <c r="D159">
        <v>92.904523118007972</v>
      </c>
      <c r="E159">
        <v>5489</v>
      </c>
      <c r="F159">
        <v>4831</v>
      </c>
    </row>
    <row r="160" spans="1:6" x14ac:dyDescent="0.25">
      <c r="A160">
        <v>14904</v>
      </c>
      <c r="B160">
        <v>3021</v>
      </c>
      <c r="C160" s="4">
        <v>5.4074387181495664</v>
      </c>
      <c r="D160">
        <v>87.223030736500945</v>
      </c>
      <c r="E160">
        <v>5447</v>
      </c>
      <c r="F160">
        <v>7870</v>
      </c>
    </row>
    <row r="161" spans="1:6" x14ac:dyDescent="0.25">
      <c r="A161">
        <v>10455</v>
      </c>
      <c r="B161">
        <v>8945</v>
      </c>
      <c r="C161" s="4">
        <v>7.1045116831098394</v>
      </c>
      <c r="D161">
        <v>87.415796569024863</v>
      </c>
      <c r="E161">
        <v>5728</v>
      </c>
      <c r="F161">
        <v>8427</v>
      </c>
    </row>
    <row r="162" spans="1:6" x14ac:dyDescent="0.25">
      <c r="A162">
        <v>11792</v>
      </c>
      <c r="B162">
        <v>6697</v>
      </c>
      <c r="C162" s="4">
        <v>9.2695169398294244</v>
      </c>
      <c r="D162">
        <v>97.634226514600726</v>
      </c>
      <c r="E162">
        <v>5929</v>
      </c>
      <c r="F162">
        <v>2817</v>
      </c>
    </row>
    <row r="163" spans="1:6" x14ac:dyDescent="0.25">
      <c r="A163">
        <v>14068</v>
      </c>
      <c r="B163">
        <v>4759</v>
      </c>
      <c r="C163" s="4">
        <v>5.6254928669756517</v>
      </c>
      <c r="D163">
        <v>91.089229822389257</v>
      </c>
      <c r="E163">
        <v>5129</v>
      </c>
      <c r="F163">
        <v>3212</v>
      </c>
    </row>
    <row r="164" spans="1:6" x14ac:dyDescent="0.25">
      <c r="A164">
        <v>15172</v>
      </c>
      <c r="B164">
        <v>11310</v>
      </c>
      <c r="C164" s="4">
        <v>8.8047681519158907</v>
      </c>
      <c r="D164">
        <v>90.229398019157259</v>
      </c>
      <c r="E164">
        <v>5508</v>
      </c>
      <c r="F164">
        <v>4878</v>
      </c>
    </row>
    <row r="165" spans="1:6" x14ac:dyDescent="0.25">
      <c r="A165">
        <v>8213</v>
      </c>
      <c r="B165">
        <v>11803</v>
      </c>
      <c r="C165" s="4">
        <v>7.3308888864481236</v>
      </c>
      <c r="D165">
        <v>84.078147155458737</v>
      </c>
      <c r="E165">
        <v>5468</v>
      </c>
      <c r="F165">
        <v>1767</v>
      </c>
    </row>
    <row r="166" spans="1:6" x14ac:dyDescent="0.25">
      <c r="A166">
        <v>15123</v>
      </c>
      <c r="B166">
        <v>16964</v>
      </c>
      <c r="C166" s="4">
        <v>5.6280563732191338</v>
      </c>
      <c r="D166">
        <v>88.868179482007051</v>
      </c>
      <c r="E166">
        <v>5854</v>
      </c>
      <c r="F166">
        <v>6924</v>
      </c>
    </row>
    <row r="167" spans="1:6" x14ac:dyDescent="0.25">
      <c r="A167">
        <v>18284</v>
      </c>
      <c r="B167">
        <v>4882</v>
      </c>
      <c r="C167" s="4">
        <v>8.6723384797747602</v>
      </c>
      <c r="D167">
        <v>80.566207189048058</v>
      </c>
      <c r="E167">
        <v>5540</v>
      </c>
      <c r="F167">
        <v>5956</v>
      </c>
    </row>
    <row r="168" spans="1:6" x14ac:dyDescent="0.25">
      <c r="A168">
        <v>5229</v>
      </c>
      <c r="B168">
        <v>7076</v>
      </c>
      <c r="C168" s="4">
        <v>6.0683484238032364</v>
      </c>
      <c r="D168">
        <v>81.34064283606061</v>
      </c>
      <c r="E168">
        <v>5264</v>
      </c>
      <c r="F168">
        <v>8871</v>
      </c>
    </row>
    <row r="169" spans="1:6" x14ac:dyDescent="0.25">
      <c r="A169">
        <v>14230</v>
      </c>
      <c r="B169">
        <v>8934</v>
      </c>
      <c r="C169" s="4">
        <v>8.697985615589948</v>
      </c>
      <c r="D169">
        <v>89.408532763041421</v>
      </c>
      <c r="E169">
        <v>5083</v>
      </c>
      <c r="F169">
        <v>3031</v>
      </c>
    </row>
    <row r="170" spans="1:6" x14ac:dyDescent="0.25">
      <c r="A170">
        <v>17335</v>
      </c>
      <c r="B170">
        <v>15709</v>
      </c>
      <c r="C170" s="4">
        <v>7.6253611829122443</v>
      </c>
      <c r="D170">
        <v>83.472225880594493</v>
      </c>
      <c r="E170">
        <v>5376</v>
      </c>
      <c r="F170">
        <v>2181</v>
      </c>
    </row>
    <row r="171" spans="1:6" x14ac:dyDescent="0.25">
      <c r="A171">
        <v>18275</v>
      </c>
      <c r="B171">
        <v>14236</v>
      </c>
      <c r="C171" s="4">
        <v>7.9073588806986592</v>
      </c>
      <c r="D171">
        <v>96.532020422720109</v>
      </c>
      <c r="E171">
        <v>5325</v>
      </c>
      <c r="F171">
        <v>9397</v>
      </c>
    </row>
    <row r="172" spans="1:6" x14ac:dyDescent="0.25">
      <c r="A172">
        <v>7304</v>
      </c>
      <c r="B172">
        <v>3987</v>
      </c>
      <c r="C172" s="4">
        <v>7.6195489427205914</v>
      </c>
      <c r="D172">
        <v>91.656566978200601</v>
      </c>
      <c r="E172">
        <v>5478</v>
      </c>
      <c r="F172">
        <v>4898</v>
      </c>
    </row>
    <row r="173" spans="1:6" x14ac:dyDescent="0.25">
      <c r="A173">
        <v>9195</v>
      </c>
      <c r="B173">
        <v>3010</v>
      </c>
      <c r="C173" s="4">
        <v>6.9158147069719202</v>
      </c>
      <c r="D173">
        <v>90.41916046988527</v>
      </c>
      <c r="E173">
        <v>5769</v>
      </c>
      <c r="F173">
        <v>4257</v>
      </c>
    </row>
    <row r="174" spans="1:6" x14ac:dyDescent="0.25">
      <c r="A174">
        <v>11857</v>
      </c>
      <c r="B174">
        <v>15366</v>
      </c>
      <c r="C174" s="4">
        <v>7.8508814106713904</v>
      </c>
      <c r="D174">
        <v>93.96346545970853</v>
      </c>
      <c r="E174">
        <v>5843</v>
      </c>
      <c r="F174">
        <v>4130</v>
      </c>
    </row>
    <row r="175" spans="1:6" x14ac:dyDescent="0.25">
      <c r="A175">
        <v>5000</v>
      </c>
      <c r="B175">
        <v>5769</v>
      </c>
      <c r="C175" s="4">
        <v>5.8491800454182599</v>
      </c>
      <c r="D175">
        <v>89.795382685620098</v>
      </c>
      <c r="E175">
        <v>5180</v>
      </c>
      <c r="F175">
        <v>1372</v>
      </c>
    </row>
    <row r="176" spans="1:6" x14ac:dyDescent="0.25">
      <c r="A176">
        <v>10325</v>
      </c>
      <c r="B176">
        <v>7285</v>
      </c>
      <c r="C176" s="4">
        <v>8.8702187609662833</v>
      </c>
      <c r="D176">
        <v>92.519189010375058</v>
      </c>
      <c r="E176">
        <v>5970</v>
      </c>
      <c r="F176">
        <v>5391</v>
      </c>
    </row>
    <row r="177" spans="1:6" x14ac:dyDescent="0.25">
      <c r="A177">
        <v>13412</v>
      </c>
      <c r="B177">
        <v>14880</v>
      </c>
      <c r="C177" s="4">
        <v>7.0376825410235959</v>
      </c>
      <c r="D177">
        <v>89.399585586890311</v>
      </c>
      <c r="E177">
        <v>5273</v>
      </c>
      <c r="F177">
        <v>6631</v>
      </c>
    </row>
    <row r="178" spans="1:6" x14ac:dyDescent="0.25">
      <c r="A178">
        <v>8964</v>
      </c>
      <c r="B178">
        <v>11510</v>
      </c>
      <c r="C178" s="4">
        <v>6.6439396018293539</v>
      </c>
      <c r="D178">
        <v>84.374669587743227</v>
      </c>
      <c r="E178">
        <v>5057</v>
      </c>
      <c r="F178">
        <v>4493</v>
      </c>
    </row>
    <row r="179" spans="1:6" x14ac:dyDescent="0.25">
      <c r="A179">
        <v>10449</v>
      </c>
      <c r="B179">
        <v>13027</v>
      </c>
      <c r="C179" s="4">
        <v>6.8564872010532003</v>
      </c>
      <c r="D179">
        <v>96.861513827419571</v>
      </c>
      <c r="E179">
        <v>5403</v>
      </c>
      <c r="F179">
        <v>3714</v>
      </c>
    </row>
    <row r="180" spans="1:6" x14ac:dyDescent="0.25">
      <c r="A180">
        <v>11738</v>
      </c>
      <c r="B180">
        <v>16008</v>
      </c>
      <c r="C180" s="4">
        <v>6.4770518943548261</v>
      </c>
      <c r="D180">
        <v>89.803940880742942</v>
      </c>
      <c r="E180">
        <v>5261</v>
      </c>
      <c r="F180">
        <v>7080</v>
      </c>
    </row>
    <row r="181" spans="1:6" x14ac:dyDescent="0.25">
      <c r="A181">
        <v>13806</v>
      </c>
      <c r="B181">
        <v>9937</v>
      </c>
      <c r="C181" s="4">
        <v>9.7073709439305738</v>
      </c>
      <c r="D181">
        <v>86.386904016218992</v>
      </c>
      <c r="E181">
        <v>5919</v>
      </c>
      <c r="F181">
        <v>9577</v>
      </c>
    </row>
    <row r="182" spans="1:6" x14ac:dyDescent="0.25">
      <c r="A182">
        <v>13901</v>
      </c>
      <c r="B182">
        <v>8523</v>
      </c>
      <c r="C182" s="4">
        <v>8.0850291967090548</v>
      </c>
      <c r="D182">
        <v>86.7227973290275</v>
      </c>
      <c r="E182">
        <v>5716</v>
      </c>
      <c r="F182">
        <v>1330</v>
      </c>
    </row>
    <row r="183" spans="1:6" x14ac:dyDescent="0.25">
      <c r="A183">
        <v>17894</v>
      </c>
      <c r="B183">
        <v>10386</v>
      </c>
      <c r="C183" s="4">
        <v>5.9262463895754491</v>
      </c>
      <c r="D183">
        <v>97.75066937343297</v>
      </c>
      <c r="E183">
        <v>5590</v>
      </c>
      <c r="F183">
        <v>8231</v>
      </c>
    </row>
    <row r="184" spans="1:6" x14ac:dyDescent="0.25">
      <c r="A184">
        <v>11024</v>
      </c>
      <c r="B184">
        <v>13139</v>
      </c>
      <c r="C184" s="4">
        <v>8.9509541113900681</v>
      </c>
      <c r="D184">
        <v>81.121245788853628</v>
      </c>
      <c r="E184">
        <v>5399</v>
      </c>
      <c r="F184">
        <v>1017</v>
      </c>
    </row>
    <row r="185" spans="1:6" x14ac:dyDescent="0.25">
      <c r="A185">
        <v>8116</v>
      </c>
      <c r="B185">
        <v>16474</v>
      </c>
      <c r="C185" s="4">
        <v>5.7957226807512079</v>
      </c>
      <c r="D185">
        <v>96.822254489489325</v>
      </c>
      <c r="E185">
        <v>5985</v>
      </c>
      <c r="F185">
        <v>7451</v>
      </c>
    </row>
    <row r="186" spans="1:6" x14ac:dyDescent="0.25">
      <c r="A186">
        <v>10858</v>
      </c>
      <c r="B186">
        <v>9518</v>
      </c>
      <c r="C186" s="4">
        <v>9.1572981509846869</v>
      </c>
      <c r="D186">
        <v>91.619132214449721</v>
      </c>
      <c r="E186">
        <v>5501</v>
      </c>
      <c r="F186">
        <v>7258</v>
      </c>
    </row>
    <row r="187" spans="1:6" x14ac:dyDescent="0.25">
      <c r="A187">
        <v>14644</v>
      </c>
      <c r="B187">
        <v>14408</v>
      </c>
      <c r="C187" s="4">
        <v>5.7507577723806476</v>
      </c>
      <c r="D187">
        <v>92.036297841261558</v>
      </c>
      <c r="E187">
        <v>5582</v>
      </c>
      <c r="F187">
        <v>1322</v>
      </c>
    </row>
    <row r="188" spans="1:6" x14ac:dyDescent="0.25">
      <c r="A188">
        <v>15967</v>
      </c>
      <c r="B188">
        <v>6843</v>
      </c>
      <c r="C188" s="4">
        <v>9.7867766020554612</v>
      </c>
      <c r="D188">
        <v>83.60500043042218</v>
      </c>
      <c r="E188">
        <v>5065</v>
      </c>
      <c r="F188">
        <v>1079</v>
      </c>
    </row>
    <row r="189" spans="1:6" x14ac:dyDescent="0.25">
      <c r="A189">
        <v>13269</v>
      </c>
      <c r="B189">
        <v>15070</v>
      </c>
      <c r="C189" s="4">
        <v>8.2991764907426013</v>
      </c>
      <c r="D189">
        <v>81.513113787369605</v>
      </c>
      <c r="E189">
        <v>5933</v>
      </c>
      <c r="F189">
        <v>4227</v>
      </c>
    </row>
    <row r="190" spans="1:6" x14ac:dyDescent="0.25">
      <c r="A190">
        <v>19715</v>
      </c>
      <c r="B190">
        <v>17139</v>
      </c>
      <c r="C190" s="4">
        <v>8.4971847897294435</v>
      </c>
      <c r="D190">
        <v>89.851705546811218</v>
      </c>
      <c r="E190">
        <v>5388</v>
      </c>
      <c r="F190">
        <v>2861</v>
      </c>
    </row>
    <row r="191" spans="1:6" x14ac:dyDescent="0.25">
      <c r="A191">
        <v>15610</v>
      </c>
      <c r="B191">
        <v>14710</v>
      </c>
      <c r="C191" s="4">
        <v>7.9361085417132644</v>
      </c>
      <c r="D191">
        <v>89.736480368107891</v>
      </c>
      <c r="E191">
        <v>5277</v>
      </c>
      <c r="F191">
        <v>7169</v>
      </c>
    </row>
    <row r="192" spans="1:6" x14ac:dyDescent="0.25">
      <c r="A192">
        <v>14930</v>
      </c>
      <c r="B192">
        <v>4428</v>
      </c>
      <c r="C192" s="4">
        <v>9.2352152748202982</v>
      </c>
      <c r="D192">
        <v>80.651397384861397</v>
      </c>
      <c r="E192">
        <v>5548</v>
      </c>
      <c r="F192">
        <v>3057</v>
      </c>
    </row>
    <row r="193" spans="1:6" x14ac:dyDescent="0.25">
      <c r="A193">
        <v>10024</v>
      </c>
      <c r="B193">
        <v>7815</v>
      </c>
      <c r="C193" s="4">
        <v>6.1899896252249675</v>
      </c>
      <c r="D193">
        <v>90.768060598184888</v>
      </c>
      <c r="E193">
        <v>5392</v>
      </c>
      <c r="F193">
        <v>4408</v>
      </c>
    </row>
    <row r="194" spans="1:6" x14ac:dyDescent="0.25">
      <c r="A194">
        <v>7775</v>
      </c>
      <c r="B194">
        <v>16209</v>
      </c>
      <c r="C194" s="4">
        <v>9.5595280180912354</v>
      </c>
      <c r="D194">
        <v>86.868216218813217</v>
      </c>
      <c r="E194">
        <v>5836</v>
      </c>
      <c r="F194">
        <v>2941</v>
      </c>
    </row>
    <row r="195" spans="1:6" x14ac:dyDescent="0.25">
      <c r="A195">
        <v>9933</v>
      </c>
      <c r="B195">
        <v>15293</v>
      </c>
      <c r="C195" s="4">
        <v>9.4748470318249289</v>
      </c>
      <c r="D195">
        <v>99.332179196455257</v>
      </c>
      <c r="E195">
        <v>5598</v>
      </c>
      <c r="F195">
        <v>7627</v>
      </c>
    </row>
    <row r="196" spans="1:6" x14ac:dyDescent="0.25">
      <c r="A196">
        <v>9656</v>
      </c>
      <c r="B196">
        <v>6048</v>
      </c>
      <c r="C196" s="4">
        <v>8.862626173185939</v>
      </c>
      <c r="D196">
        <v>94.605532264378667</v>
      </c>
      <c r="E196">
        <v>5993</v>
      </c>
      <c r="F196">
        <v>6683</v>
      </c>
    </row>
    <row r="197" spans="1:6" x14ac:dyDescent="0.25">
      <c r="A197">
        <v>10453</v>
      </c>
      <c r="B197">
        <v>14284</v>
      </c>
      <c r="C197" s="4">
        <v>6.034808002161185</v>
      </c>
      <c r="D197">
        <v>87.558592279563925</v>
      </c>
      <c r="E197">
        <v>5303</v>
      </c>
      <c r="F197">
        <v>8218</v>
      </c>
    </row>
    <row r="198" spans="1:6" x14ac:dyDescent="0.25">
      <c r="A198">
        <v>16524</v>
      </c>
      <c r="B198">
        <v>3239</v>
      </c>
      <c r="C198" s="4">
        <v>6.8376651628611889</v>
      </c>
      <c r="D198">
        <v>88.99743529964519</v>
      </c>
      <c r="E198">
        <v>5562</v>
      </c>
      <c r="F198">
        <v>8672</v>
      </c>
    </row>
    <row r="199" spans="1:6" x14ac:dyDescent="0.25">
      <c r="A199">
        <v>5201</v>
      </c>
      <c r="B199">
        <v>15343</v>
      </c>
      <c r="C199" s="4">
        <v>7.3902686753563511</v>
      </c>
      <c r="D199">
        <v>87.423527116646753</v>
      </c>
      <c r="E199">
        <v>5156</v>
      </c>
      <c r="F199">
        <v>9271</v>
      </c>
    </row>
    <row r="200" spans="1:6" x14ac:dyDescent="0.25">
      <c r="A200">
        <v>18738</v>
      </c>
      <c r="B200">
        <v>13174</v>
      </c>
      <c r="C200" s="4">
        <v>7.3421336492855485</v>
      </c>
      <c r="D200">
        <v>91.772584630882534</v>
      </c>
      <c r="E200">
        <v>5896</v>
      </c>
      <c r="F200">
        <v>1841</v>
      </c>
    </row>
    <row r="201" spans="1:6" x14ac:dyDescent="0.25">
      <c r="C201" s="4">
        <v>2.4508524779325072</v>
      </c>
      <c r="D201">
        <v>86.92682626562538</v>
      </c>
      <c r="E201">
        <v>5353</v>
      </c>
      <c r="F201">
        <v>5713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Fareedah</cp:lastModifiedBy>
  <dcterms:created xsi:type="dcterms:W3CDTF">2024-03-19T13:37:01Z</dcterms:created>
  <dcterms:modified xsi:type="dcterms:W3CDTF">2024-04-29T14:07:06Z</dcterms:modified>
</cp:coreProperties>
</file>